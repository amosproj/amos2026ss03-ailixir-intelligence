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<sst xmlns="http://schemas.openxmlformats.org/spreadsheetml/2006/main" count="304" uniqueCount="201">
  <si>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</si>
  <si>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</si>
  <si>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</si>
  <si>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</si>
  <si>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</si>
  <si>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</si>
  <si>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</si>
  <si>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</si>
  <si>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</si>
  <si>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</si>
  <si>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</si>
  <si>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</si>
  <si>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</si>
  <si>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</si>
  <si>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</si>
  <si>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</si>
  <si>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</si>
  <si>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</si>
  <si>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</si>
  <si>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</si>
  <si>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</si>
  <si>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</si>
  <si>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</si>
  <si>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</si>
  <si>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</si>
  <si>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</si>
  <si>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</si>
  <si>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</si>
  <si>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</si>
  <si>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</si>
  <si>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Khan</t>
  </si>
  <si>
    <t>Muhamad</t>
  </si>
  <si>
    <t>mukahn</t>
  </si>
  <si>
    <t>md.kahn@tu-berlin.de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</si>
  <si>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</si>
  <si>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</si>
  <si>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</si>
  <si>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</si>
  <si>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</si>
  <si>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</si>
  <si>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</si>
  <si>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</si>
  <si>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</si>
  <si>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</si>
  <si>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</si>
  <si>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</si>
  <si>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</si>
  <si>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</si>
  <si>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</si>
  <si>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</si>
  <si>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</si>
  <si>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</si>
  <si>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</si>
  <si>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</si>
  <si>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</si>
  <si>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</si>
  <si>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</si>
  <si>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</si>
  <si>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</si>
  <si>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MuhammadZeeshan2</t>
  </si>
  <si>
    <t>sharif.zeeshan@fau.de</t>
  </si>
  <si>
    <t>Haseeb</t>
  </si>
  <si>
    <t>Abdul</t>
  </si>
  <si>
    <t>AbdulHaseeb-SE</t>
  </si>
  <si>
    <t>abdul.ah.haseeb@fau.de</t>
  </si>
  <si>
    <t>Vogt</t>
  </si>
  <si>
    <t>Marcel</t>
  </si>
  <si>
    <t>VogtIndustries</t>
  </si>
  <si>
    <t>marcel.vogt@campus.tu-berlin.de</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</si>
  <si>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</si>
  <si>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</si>
  <si>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</si>
  <si>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</si>
  <si>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</si>
  <si>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</si>
  <si>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</si>
  <si>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</si>
  <si>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</si>
  <si>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</si>
  <si>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</si>
  <si>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</si>
  <si>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</si>
  <si>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</si>
  <si>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</si>
  <si>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</si>
  <si>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Abdul Haseeb</t>
  </si>
  <si>
    <t>Marcel Vogt</t>
  </si>
  <si>
    <t>Hannes Vinzens</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</si>
  <si>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</si>
  <si>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</si>
  <si>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</si>
  <si>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</si>
  <si>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</si>
  <si>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</si>
  <si>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</si>
  <si>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</si>
  <si>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</si>
  <si>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</si>
  <si>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</si>
  <si>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</si>
  <si>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</si>
  <si>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</si>
  <si>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</si>
  <si>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</si>
  <si>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</si>
  <si>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</si>
  <si>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</si>
  <si>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</si>
  <si>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</si>
  <si>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</si>
  <si>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</si>
  <si>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</si>
  <si>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</si>
  <si>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</si>
  <si>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</si>
  <si>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</si>
  <si>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</si>
  <si>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</si>
  <si>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</si>
  <si>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</si>
  <si>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</si>
  <si>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</si>
  <si>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</si>
  <si>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</si>
  <si>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</si>
  <si>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</si>
  <si>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</si>
  <si>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</si>
  <si>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</si>
  <si>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</si>
  <si>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</si>
  <si>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</si>
  <si>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</si>
  <si>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</si>
  <si>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</si>
  <si>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</si>
  <si>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</si>
  <si>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</si>
  <si>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</si>
  <si>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</si>
  <si>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</si>
  <si>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</si>
  <si>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</si>
  <si>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</si>
  <si>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</si>
  <si>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The reason of existence of the envisioned product (beyond this project).</t>
  </si>
  <si>
    <t>Term</t>
  </si>
  <si>
    <t>Definition</t>
  </si>
  <si>
    <t>Sprint #</t>
  </si>
  <si>
    <t>Sprint goal</t>
  </si>
  <si>
    <t>None</t>
  </si>
  <si>
    <t>Optional</t>
  </si>
  <si>
    <t>Write your sprint goal here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</si>
  <si>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</si>
  <si>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</si>
  <si>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</si>
  <si>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</si>
  <si>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</si>
  <si>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</si>
  <si>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</si>
  <si>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</si>
  <si>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</si>
  <si>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</si>
  <si>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</si>
  <si>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</si>
  <si>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</si>
  <si>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</si>
  <si>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</si>
  <si>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</si>
  <si>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</si>
  <si>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</si>
  <si>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</si>
  <si>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</si>
  <si>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</si>
  <si>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</si>
  <si>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</si>
  <si>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</si>
  <si>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</si>
  <si>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frontend</t>
  </si>
  <si>
    <t>expo</t>
  </si>
  <si>
    <t>MIT</t>
  </si>
  <si>
    <t>also counts for all expo subpackages</t>
  </si>
  <si>
    <t>eslint</t>
  </si>
  <si>
    <t>prettier</t>
  </si>
  <si>
    <t>typescript</t>
  </si>
  <si>
    <t>Apache 2.0</t>
  </si>
  <si>
    <t>tamagui</t>
  </si>
  <si>
    <t>react</t>
  </si>
  <si>
    <t>react-navigation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</si>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</sst>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name val="Arial"/>
    </font>
    <font>
      <b/>
      <name val="Arial"/>
    </font>
    <font>
      <sz val="8.0"/>
      <color rgb="FF1F1F1F"/>
      <name val="&quot;Google Sans&quot;"/>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0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0"/>
    </xf>
    <xf borderId="0" fillId="6" fontId="6" numFmtId="0" xfId="0" applyAlignment="1" applyFill="1" applyFont="1">
      <alignment horizontal="left" shrinkToFit="0" vertical="bottom" wrapText="0"/>
    </xf>
    <xf borderId="0" fillId="6" fontId="5" numFmtId="0" xfId="0" applyAlignment="1" applyFont="1">
      <alignment shrinkToFit="0" vertical="bottom" wrapText="0"/>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0"/>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5" numFmtId="0" xfId="0" applyAlignment="1" applyFont="1">
      <alignment shrinkToFit="0" vertical="bottom" wrapText="1"/>
    </xf>
    <xf borderId="0" fillId="4" fontId="8" numFmtId="0" xfId="0" applyAlignment="1" applyFont="1">
      <alignment horizontal="center" shrinkToFit="0" vertical="bottom" wrapText="0"/>
    </xf>
    <xf borderId="0" fillId="3" fontId="5" numFmtId="0" xfId="0" applyAlignment="1" applyFont="1">
      <alignment horizontal="left" shrinkToFit="0" vertical="bottom" wrapText="1"/>
    </xf>
    <xf borderId="0" fillId="4" fontId="5" numFmtId="0" xfId="0" applyAlignment="1" applyFont="1">
      <alignment horizontal="right" shrinkToFit="0" vertical="bottom" wrapText="0"/>
    </xf>
    <xf borderId="0" fillId="4" fontId="5" numFmtId="0" xfId="0" applyAlignment="1" applyFont="1">
      <alignment horizontal="left" readingOrder="0" shrinkToFit="0" vertical="bottom" wrapText="1"/>
    </xf>
    <xf borderId="0" fillId="4" fontId="5" numFmtId="0" xfId="0" applyAlignment="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5"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0"/>
    </xf>
    <xf borderId="0" fillId="3" fontId="5" numFmtId="0" xfId="0" applyAlignment="1" applyFont="1">
      <alignment shrinkToFit="0" vertical="bottom" wrapText="0"/>
    </xf>
    <xf borderId="0" fillId="4" fontId="5" numFmtId="0" xfId="0" applyAlignment="1" applyFont="1">
      <alignment horizontal="right" shrinkToFit="0" vertical="bottom" wrapText="0"/>
    </xf>
    <xf borderId="0" fillId="4" fontId="5" numFmtId="0" xfId="0" applyAlignment="1" applyFont="1">
      <alignment horizontal="left" shrinkToFit="0" vertical="bottom" wrapText="1"/>
    </xf>
    <xf borderId="0" fillId="5" fontId="1" numFmtId="0" xfId="0" applyAlignment="1" applyFont="1">
      <alignment readingOrder="0" shrinkToFit="0"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5"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9" t="s">
        <v>50</v>
      </c>
      <c r="B8" s="9" t="s">
        <v>51</v>
      </c>
      <c r="C8" s="9" t="s">
        <v>52</v>
      </c>
      <c r="D8" s="9" t="s">
        <v>53</v>
      </c>
    </row>
    <row r="9">
      <c r="A9" s="10" t="s">
        <v>54</v>
      </c>
      <c r="B9" s="10" t="s">
        <v>55</v>
      </c>
      <c r="C9" s="10" t="s">
        <v>56</v>
      </c>
      <c r="D9" s="10" t="s">
        <v>57</v>
      </c>
    </row>
    <row r="10">
      <c r="A10" s="9" t="s">
        <v>58</v>
      </c>
      <c r="B10" s="9" t="s">
        <v>31</v>
      </c>
      <c r="C10" s="9" t="s">
        <v>59</v>
      </c>
      <c r="D10" s="9" t="s">
        <v>60</v>
      </c>
    </row>
    <row r="11">
      <c r="A11" s="9" t="s">
        <v>61</v>
      </c>
      <c r="B11" s="9" t="s">
        <v>62</v>
      </c>
      <c r="C11" s="9" t="s">
        <v>63</v>
      </c>
      <c r="D11" s="9" t="s">
        <v>64</v>
      </c>
    </row>
    <row r="12">
      <c r="A12" s="9" t="s">
        <v>65</v>
      </c>
      <c r="B12" s="9" t="s">
        <v>66</v>
      </c>
      <c r="C12" s="9" t="s">
        <v>67</v>
      </c>
      <c r="D12" s="9" t="s">
        <v>68</v>
      </c>
    </row>
    <row r="13">
      <c r="A13" s="8"/>
      <c r="B13" s="11"/>
      <c r="C13" s="11"/>
      <c r="D13" s="11"/>
    </row>
    <row r="14">
      <c r="A14" s="12"/>
      <c r="B14" s="9"/>
      <c r="C14" s="12"/>
      <c r="D14" s="12"/>
    </row>
    <row r="15">
      <c r="A15" s="12"/>
      <c r="B15" s="9"/>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c r="B1" s="13"/>
      <c r="C1" s="13" t="s">
        <v>69</v>
      </c>
      <c r="E1" s="13"/>
      <c r="F1" s="14"/>
      <c r="G1" s="14"/>
      <c r="H1" s="13"/>
    </row>
    <row r="2">
      <c r="A2" s="15" t="s">
        <v>70</v>
      </c>
      <c r="B2" s="15" t="s">
        <v>71</v>
      </c>
      <c r="C2" s="15" t="s">
        <v>72</v>
      </c>
      <c r="D2" s="15" t="s">
        <v>73</v>
      </c>
      <c r="E2" s="15" t="s">
        <v>74</v>
      </c>
      <c r="F2" s="16" t="s">
        <v>75</v>
      </c>
      <c r="G2" s="16" t="s">
        <v>76</v>
      </c>
      <c r="H2" s="15" t="s">
        <v>77</v>
      </c>
    </row>
    <row r="3">
      <c r="A3" s="17">
        <v>1.0</v>
      </c>
      <c r="B3" s="18">
        <v>46127.0</v>
      </c>
      <c r="C3" s="9"/>
      <c r="D3" s="9" t="s">
        <v>51</v>
      </c>
      <c r="E3" s="9" t="s">
        <v>78</v>
      </c>
      <c r="F3" s="9" t="s">
        <v>79</v>
      </c>
      <c r="G3" s="9" t="s">
        <v>80</v>
      </c>
      <c r="H3" s="19"/>
    </row>
    <row r="4">
      <c r="A4" s="17">
        <v>2.0</v>
      </c>
      <c r="B4" s="20">
        <f t="shared" ref="B4:B17" si="1">B3+7</f>
        <v>46134</v>
      </c>
      <c r="C4" s="9" t="s">
        <v>51</v>
      </c>
      <c r="D4" s="9" t="s">
        <v>47</v>
      </c>
      <c r="E4" s="9" t="s">
        <v>78</v>
      </c>
      <c r="F4" s="9" t="s">
        <v>81</v>
      </c>
      <c r="G4" s="9" t="s">
        <v>80</v>
      </c>
      <c r="H4" s="19"/>
    </row>
    <row r="5">
      <c r="A5" s="17">
        <v>3.0</v>
      </c>
      <c r="B5" s="20">
        <f t="shared" si="1"/>
        <v>46141</v>
      </c>
      <c r="C5" s="9" t="s">
        <v>47</v>
      </c>
      <c r="D5" s="9" t="s">
        <v>51</v>
      </c>
      <c r="E5" s="9" t="s">
        <v>78</v>
      </c>
      <c r="F5" s="9" t="s">
        <v>81</v>
      </c>
      <c r="G5" s="9" t="s">
        <v>80</v>
      </c>
      <c r="H5" s="19"/>
    </row>
    <row r="6">
      <c r="A6" s="17">
        <v>4.0</v>
      </c>
      <c r="B6" s="20">
        <f t="shared" si="1"/>
        <v>46148</v>
      </c>
      <c r="C6" s="9" t="s">
        <v>51</v>
      </c>
      <c r="D6" s="9" t="s">
        <v>47</v>
      </c>
      <c r="E6" s="9" t="s">
        <v>78</v>
      </c>
      <c r="F6" s="9" t="s">
        <v>82</v>
      </c>
      <c r="G6" s="9" t="s">
        <v>80</v>
      </c>
      <c r="H6" s="19"/>
    </row>
    <row r="7">
      <c r="A7" s="17">
        <v>5.0</v>
      </c>
      <c r="B7" s="20">
        <f t="shared" si="1"/>
        <v>46155</v>
      </c>
      <c r="C7" s="9" t="s">
        <v>47</v>
      </c>
      <c r="D7" s="9" t="s">
        <v>51</v>
      </c>
      <c r="E7" s="9" t="s">
        <v>78</v>
      </c>
      <c r="F7" s="9" t="s">
        <v>83</v>
      </c>
      <c r="G7" s="9" t="s">
        <v>80</v>
      </c>
      <c r="H7" s="19"/>
    </row>
    <row r="8">
      <c r="A8" s="17">
        <v>6.0</v>
      </c>
      <c r="B8" s="20">
        <f t="shared" si="1"/>
        <v>46162</v>
      </c>
      <c r="C8" s="9" t="s">
        <v>51</v>
      </c>
      <c r="D8" s="9" t="s">
        <v>47</v>
      </c>
      <c r="E8" s="9" t="s">
        <v>5</v>
      </c>
      <c r="F8" s="9" t="s">
        <v>84</v>
      </c>
      <c r="G8" s="9" t="s">
        <v>80</v>
      </c>
      <c r="H8" s="19"/>
    </row>
    <row r="9">
      <c r="A9" s="17">
        <v>7.0</v>
      </c>
      <c r="B9" s="20">
        <f t="shared" si="1"/>
        <v>46169</v>
      </c>
      <c r="C9" s="9" t="s">
        <v>47</v>
      </c>
      <c r="D9" s="9" t="s">
        <v>51</v>
      </c>
      <c r="E9" s="12"/>
      <c r="F9" s="9" t="s">
        <v>85</v>
      </c>
      <c r="G9" s="9" t="s">
        <v>80</v>
      </c>
      <c r="H9" s="19"/>
    </row>
    <row r="10">
      <c r="A10" s="17">
        <v>8.0</v>
      </c>
      <c r="B10" s="20">
        <f t="shared" si="1"/>
        <v>46176</v>
      </c>
      <c r="C10" s="9" t="s">
        <v>51</v>
      </c>
      <c r="D10" s="9" t="s">
        <v>47</v>
      </c>
      <c r="E10" s="12"/>
      <c r="F10" s="9" t="s">
        <v>86</v>
      </c>
      <c r="G10" s="9" t="s">
        <v>80</v>
      </c>
    </row>
    <row r="11">
      <c r="A11" s="17">
        <v>9.0</v>
      </c>
      <c r="B11" s="20">
        <f t="shared" si="1"/>
        <v>46183</v>
      </c>
      <c r="C11" s="9" t="s">
        <v>47</v>
      </c>
      <c r="D11" s="9" t="s">
        <v>51</v>
      </c>
      <c r="E11" s="12"/>
      <c r="F11" s="9" t="s">
        <v>87</v>
      </c>
      <c r="G11" s="9" t="s">
        <v>80</v>
      </c>
      <c r="H11" s="19"/>
    </row>
    <row r="12">
      <c r="A12" s="17">
        <v>10.0</v>
      </c>
      <c r="B12" s="21">
        <f t="shared" si="1"/>
        <v>46190</v>
      </c>
      <c r="C12" s="9" t="s">
        <v>51</v>
      </c>
      <c r="D12" s="9" t="s">
        <v>47</v>
      </c>
      <c r="E12" s="12"/>
      <c r="F12" s="9" t="s">
        <v>87</v>
      </c>
      <c r="G12" s="9" t="s">
        <v>80</v>
      </c>
      <c r="H12" s="19"/>
    </row>
    <row r="13">
      <c r="A13" s="17">
        <v>11.0</v>
      </c>
      <c r="B13" s="22">
        <f t="shared" si="1"/>
        <v>46197</v>
      </c>
      <c r="C13" s="9" t="s">
        <v>47</v>
      </c>
      <c r="D13" s="9" t="s">
        <v>51</v>
      </c>
      <c r="E13" s="12"/>
      <c r="F13" s="9" t="s">
        <v>82</v>
      </c>
      <c r="G13" s="9" t="s">
        <v>80</v>
      </c>
      <c r="H13" s="19"/>
    </row>
    <row r="14">
      <c r="A14" s="17">
        <v>12.0</v>
      </c>
      <c r="B14" s="21">
        <f t="shared" si="1"/>
        <v>46204</v>
      </c>
      <c r="C14" s="9" t="s">
        <v>51</v>
      </c>
      <c r="D14" s="9" t="s">
        <v>47</v>
      </c>
      <c r="E14" s="12"/>
      <c r="F14" s="9" t="s">
        <v>83</v>
      </c>
      <c r="G14" s="9" t="s">
        <v>80</v>
      </c>
      <c r="H14" s="19"/>
    </row>
    <row r="15">
      <c r="A15" s="17">
        <v>13.0</v>
      </c>
      <c r="B15" s="22">
        <f t="shared" si="1"/>
        <v>46211</v>
      </c>
      <c r="C15" s="9" t="s">
        <v>47</v>
      </c>
      <c r="D15" s="9" t="s">
        <v>51</v>
      </c>
      <c r="E15" s="12"/>
      <c r="F15" s="9" t="s">
        <v>84</v>
      </c>
      <c r="G15" s="9" t="s">
        <v>80</v>
      </c>
      <c r="H15" s="19"/>
    </row>
    <row r="16">
      <c r="A16" s="17">
        <v>14.0</v>
      </c>
      <c r="B16" s="21">
        <f t="shared" si="1"/>
        <v>46218</v>
      </c>
      <c r="C16" s="9" t="s">
        <v>51</v>
      </c>
      <c r="D16" s="9" t="s">
        <v>88</v>
      </c>
      <c r="E16" s="12"/>
      <c r="F16" s="9" t="s">
        <v>85</v>
      </c>
      <c r="G16" s="9" t="s">
        <v>80</v>
      </c>
      <c r="H16" s="23" t="s">
        <v>89</v>
      </c>
    </row>
    <row r="17">
      <c r="A17" s="17">
        <v>15.0</v>
      </c>
      <c r="B17" s="22">
        <f t="shared" si="1"/>
        <v>46225</v>
      </c>
      <c r="C17" s="9"/>
      <c r="D17" s="9" t="s">
        <v>88</v>
      </c>
      <c r="E17" s="12"/>
      <c r="F17" s="12"/>
      <c r="G17" s="9" t="s">
        <v>80</v>
      </c>
      <c r="H17" s="23" t="s">
        <v>90</v>
      </c>
    </row>
    <row r="18">
      <c r="A18" s="17"/>
      <c r="B18" s="24"/>
      <c r="C18" s="12"/>
      <c r="D18" s="12"/>
      <c r="E18" s="12"/>
      <c r="F18" s="12"/>
      <c r="G18" s="12"/>
      <c r="H18" s="25"/>
    </row>
    <row r="19">
      <c r="A19" s="23" t="s">
        <v>91</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92</v>
      </c>
      <c r="B1" s="29" t="s">
        <v>93</v>
      </c>
    </row>
    <row r="2">
      <c r="A2" s="30"/>
      <c r="B2" s="31"/>
    </row>
    <row r="3">
      <c r="A3" s="30"/>
      <c r="B3" s="32" t="s">
        <v>94</v>
      </c>
    </row>
    <row r="4">
      <c r="A4" s="30"/>
      <c r="B4" s="32" t="s">
        <v>95</v>
      </c>
    </row>
    <row r="5">
      <c r="A5" s="33"/>
      <c r="B5" s="34"/>
    </row>
    <row r="6">
      <c r="A6" s="33" t="s">
        <v>96</v>
      </c>
      <c r="B6" s="29" t="s">
        <v>97</v>
      </c>
    </row>
    <row r="7">
      <c r="A7" s="30"/>
      <c r="B7" s="32" t="s">
        <v>98</v>
      </c>
    </row>
    <row r="8">
      <c r="A8" s="30"/>
      <c r="B8" s="32" t="s">
        <v>99</v>
      </c>
    </row>
    <row r="9">
      <c r="A9" s="30"/>
      <c r="B9" s="32" t="s">
        <v>100</v>
      </c>
    </row>
    <row r="10">
      <c r="A10" s="33"/>
      <c r="B10" s="10" t="s">
        <v>101</v>
      </c>
    </row>
    <row r="11">
      <c r="A11" s="33"/>
      <c r="B11" s="29" t="s">
        <v>102</v>
      </c>
    </row>
    <row r="12">
      <c r="A12" s="33"/>
      <c r="B12" s="29" t="s">
        <v>103</v>
      </c>
    </row>
    <row r="13">
      <c r="A13" s="33" t="s">
        <v>104</v>
      </c>
      <c r="B13" s="34"/>
    </row>
    <row r="14">
      <c r="A14" s="30"/>
      <c r="B14" s="32" t="s">
        <v>105</v>
      </c>
    </row>
    <row r="15">
      <c r="A15" s="30"/>
      <c r="B15" s="32" t="s">
        <v>106</v>
      </c>
    </row>
    <row r="16">
      <c r="A16" s="33"/>
      <c r="B16" s="29" t="s">
        <v>107</v>
      </c>
    </row>
    <row r="17">
      <c r="A17" s="33"/>
      <c r="B17" s="29" t="s">
        <v>108</v>
      </c>
    </row>
    <row r="18">
      <c r="A18" s="33"/>
      <c r="B18" s="29" t="s">
        <v>109</v>
      </c>
    </row>
    <row r="19">
      <c r="B19" s="10" t="s">
        <v>110</v>
      </c>
    </row>
    <row r="20">
      <c r="A20" s="33"/>
      <c r="B20" s="29" t="s">
        <v>111</v>
      </c>
    </row>
    <row r="21">
      <c r="A21" s="33"/>
      <c r="B21" s="29" t="s">
        <v>112</v>
      </c>
    </row>
    <row r="22">
      <c r="A22" s="33"/>
      <c r="B22" s="35" t="s">
        <v>113</v>
      </c>
    </row>
    <row r="23">
      <c r="A23" s="33"/>
      <c r="B23" s="29" t="s">
        <v>114</v>
      </c>
    </row>
    <row r="24">
      <c r="A24" s="33" t="s">
        <v>115</v>
      </c>
      <c r="B24" s="29"/>
    </row>
    <row r="25">
      <c r="A25" s="30"/>
      <c r="B25" s="29" t="s">
        <v>116</v>
      </c>
    </row>
    <row r="26">
      <c r="A26" s="33"/>
      <c r="B26" s="32" t="s">
        <v>117</v>
      </c>
    </row>
    <row r="27">
      <c r="A27" s="33"/>
      <c r="B27" s="32" t="s">
        <v>118</v>
      </c>
    </row>
    <row r="28">
      <c r="A28" s="33" t="s">
        <v>119</v>
      </c>
      <c r="B28" s="32"/>
    </row>
    <row r="29">
      <c r="A29" s="30"/>
      <c r="B29" s="32"/>
    </row>
    <row r="30">
      <c r="A30" s="30"/>
      <c r="B30" s="34"/>
    </row>
    <row r="31">
      <c r="A31" s="30"/>
      <c r="B31" s="32" t="s">
        <v>120</v>
      </c>
    </row>
    <row r="32">
      <c r="A32" s="30"/>
      <c r="B32" s="32" t="s">
        <v>121</v>
      </c>
    </row>
    <row r="33">
      <c r="A33" s="33"/>
      <c r="B33" s="32" t="s">
        <v>122</v>
      </c>
    </row>
    <row r="34">
      <c r="A34" s="33"/>
      <c r="B34" s="32" t="s">
        <v>123</v>
      </c>
    </row>
    <row r="35">
      <c r="A35" s="33"/>
      <c r="B35" s="29" t="s">
        <v>124</v>
      </c>
    </row>
    <row r="36">
      <c r="A36" s="33"/>
      <c r="B36" s="29" t="s">
        <v>125</v>
      </c>
    </row>
    <row r="37">
      <c r="A37" s="33" t="s">
        <v>126</v>
      </c>
      <c r="B37" s="29"/>
    </row>
    <row r="38">
      <c r="A38" s="31"/>
      <c r="B38" s="29" t="s">
        <v>127</v>
      </c>
    </row>
    <row r="39">
      <c r="A39" s="31"/>
      <c r="B39" s="29" t="s">
        <v>128</v>
      </c>
    </row>
    <row r="40">
      <c r="A40" s="33"/>
      <c r="B40" s="32"/>
    </row>
    <row r="41">
      <c r="A41" s="33" t="s">
        <v>129</v>
      </c>
      <c r="B41" s="32" t="s">
        <v>130</v>
      </c>
    </row>
    <row r="42">
      <c r="A42" s="31"/>
      <c r="B42" s="32"/>
    </row>
    <row r="43">
      <c r="A43" s="36"/>
      <c r="B43" s="29" t="s">
        <v>131</v>
      </c>
    </row>
    <row r="44">
      <c r="A44" s="36" t="s">
        <v>132</v>
      </c>
      <c r="B44" s="31"/>
    </row>
    <row r="45">
      <c r="A45" s="36"/>
      <c r="B45" s="29"/>
    </row>
    <row r="46">
      <c r="A46" s="31"/>
      <c r="B46" s="29" t="s">
        <v>133</v>
      </c>
    </row>
    <row r="47">
      <c r="A47" s="36" t="s">
        <v>134</v>
      </c>
      <c r="B47" s="34"/>
    </row>
    <row r="48">
      <c r="A48" s="31"/>
      <c r="B48" s="32" t="s">
        <v>135</v>
      </c>
    </row>
    <row r="49">
      <c r="A49" s="33" t="s">
        <v>136</v>
      </c>
      <c r="B49" s="34"/>
    </row>
    <row r="50">
      <c r="B50" s="31"/>
    </row>
    <row r="51">
      <c r="A51" s="37" t="s">
        <v>76</v>
      </c>
      <c r="B51" s="10" t="s">
        <v>137</v>
      </c>
    </row>
    <row r="52">
      <c r="A52" s="37" t="s">
        <v>138</v>
      </c>
      <c r="B52" s="10" t="s">
        <v>139</v>
      </c>
    </row>
    <row r="53">
      <c r="A53" s="37" t="s">
        <v>138</v>
      </c>
      <c r="B53" s="10" t="s">
        <v>140</v>
      </c>
    </row>
    <row r="54">
      <c r="A54" s="37" t="s">
        <v>141</v>
      </c>
      <c r="B54" s="10" t="s">
        <v>82</v>
      </c>
    </row>
    <row r="55">
      <c r="A55" s="37" t="s">
        <v>141</v>
      </c>
      <c r="B55" s="10" t="s">
        <v>83</v>
      </c>
    </row>
    <row r="56">
      <c r="A56" s="37" t="s">
        <v>141</v>
      </c>
      <c r="B56" s="10" t="s">
        <v>87</v>
      </c>
    </row>
    <row r="57">
      <c r="A57" s="37" t="s">
        <v>141</v>
      </c>
      <c r="B57" s="10" t="s">
        <v>142</v>
      </c>
    </row>
    <row r="58">
      <c r="A58" s="37" t="s">
        <v>141</v>
      </c>
      <c r="B58" s="10" t="s">
        <v>85</v>
      </c>
    </row>
    <row r="59">
      <c r="A59" s="37" t="s">
        <v>141</v>
      </c>
      <c r="B59" s="10" t="s">
        <v>81</v>
      </c>
    </row>
    <row r="60">
      <c r="A60" s="10" t="s">
        <v>141</v>
      </c>
      <c r="B60" s="10" t="s">
        <v>86</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143</v>
      </c>
      <c r="B1" s="38" t="s">
        <v>144</v>
      </c>
    </row>
    <row r="2">
      <c r="A2" s="39"/>
      <c r="B2" s="40"/>
    </row>
    <row r="3">
      <c r="A3" s="41" t="s">
        <v>145</v>
      </c>
      <c r="B3" s="41" t="s">
        <v>145</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146</v>
      </c>
      <c r="B1" s="42" t="s">
        <v>147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3" t="s">
        <v>148</v>
      </c>
      <c r="B1" s="4" t="s">
        <v>149</v>
      </c>
    </row>
    <row r="2">
      <c r="A2" s="44">
        <v>1.0</v>
      </c>
      <c r="B2" s="2" t="s">
        <v>150</v>
      </c>
    </row>
    <row r="3">
      <c r="A3" s="44">
        <f t="shared" ref="A3:A16" si="1">A2+1</f>
        <v>2</v>
      </c>
      <c r="B3" s="2" t="s">
        <v>150</v>
      </c>
    </row>
    <row r="4">
      <c r="A4" s="44">
        <f t="shared" si="1"/>
        <v>3</v>
      </c>
      <c r="B4" s="2" t="s">
        <v>150</v>
      </c>
    </row>
    <row r="5">
      <c r="A5" s="44">
        <f t="shared" si="1"/>
        <v>4</v>
      </c>
      <c r="B5" s="10" t="s">
        <v>151</v>
      </c>
    </row>
    <row r="6">
      <c r="A6" s="44">
        <f t="shared" si="1"/>
        <v>5</v>
      </c>
      <c r="B6" s="2" t="s">
        <v>152</v>
      </c>
    </row>
    <row r="7">
      <c r="A7" s="44">
        <f t="shared" si="1"/>
        <v>6</v>
      </c>
      <c r="B7" s="3"/>
    </row>
    <row r="8">
      <c r="A8" s="44">
        <f t="shared" si="1"/>
        <v>7</v>
      </c>
      <c r="B8" s="3"/>
    </row>
    <row r="9">
      <c r="A9" s="44">
        <f t="shared" si="1"/>
        <v>8</v>
      </c>
      <c r="B9" s="3"/>
    </row>
    <row r="10">
      <c r="A10" s="44">
        <f t="shared" si="1"/>
        <v>9</v>
      </c>
      <c r="B10" s="3"/>
    </row>
    <row r="11">
      <c r="A11" s="44">
        <f t="shared" si="1"/>
        <v>10</v>
      </c>
      <c r="B11" s="3"/>
    </row>
    <row r="12">
      <c r="A12" s="44">
        <f t="shared" si="1"/>
        <v>11</v>
      </c>
      <c r="B12" s="3"/>
    </row>
    <row r="13">
      <c r="A13" s="44">
        <f t="shared" si="1"/>
        <v>12</v>
      </c>
      <c r="B13" s="3"/>
    </row>
    <row r="14">
      <c r="A14" s="44">
        <f t="shared" si="1"/>
        <v>13</v>
      </c>
      <c r="B14" s="3"/>
    </row>
    <row r="15">
      <c r="A15" s="44">
        <f t="shared" si="1"/>
        <v>14</v>
      </c>
      <c r="B15" s="3"/>
    </row>
    <row r="16">
      <c r="A16" s="44">
        <f t="shared" si="1"/>
        <v>15</v>
      </c>
      <c r="B16" s="3"/>
    </row>
    <row r="17">
      <c r="A17" s="44"/>
      <c r="B17" s="3"/>
    </row>
    <row r="18">
      <c r="A18" s="44"/>
      <c r="B18" s="3"/>
    </row>
    <row r="19">
      <c r="A19" s="45"/>
      <c r="B19" s="3"/>
    </row>
    <row r="20">
      <c r="A20" s="4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3" t="s">
        <v>148</v>
      </c>
      <c r="B1" s="4" t="s">
        <v>153</v>
      </c>
    </row>
    <row r="2">
      <c r="A2" s="44">
        <v>1.0</v>
      </c>
      <c r="B2" s="2"/>
    </row>
    <row r="3">
      <c r="A3" s="44">
        <f t="shared" ref="A3:A16" si="1">A2+1</f>
        <v>2</v>
      </c>
      <c r="B3" s="2"/>
    </row>
    <row r="4">
      <c r="A4" s="44">
        <f t="shared" si="1"/>
        <v>3</v>
      </c>
      <c r="B4" s="2"/>
    </row>
    <row r="5">
      <c r="A5" s="44">
        <f t="shared" si="1"/>
        <v>4</v>
      </c>
    </row>
    <row r="6">
      <c r="A6" s="44">
        <f t="shared" si="1"/>
        <v>5</v>
      </c>
      <c r="B6" s="2"/>
    </row>
    <row r="7">
      <c r="A7" s="44">
        <f t="shared" si="1"/>
        <v>6</v>
      </c>
      <c r="B7" s="3"/>
    </row>
    <row r="8">
      <c r="A8" s="44">
        <f t="shared" si="1"/>
        <v>7</v>
      </c>
      <c r="B8" s="3"/>
    </row>
    <row r="9">
      <c r="A9" s="44">
        <f t="shared" si="1"/>
        <v>8</v>
      </c>
      <c r="B9" s="3"/>
    </row>
    <row r="10">
      <c r="A10" s="44">
        <f t="shared" si="1"/>
        <v>9</v>
      </c>
      <c r="B10" s="3"/>
    </row>
    <row r="11">
      <c r="A11" s="44">
        <f t="shared" si="1"/>
        <v>10</v>
      </c>
      <c r="B11" s="3"/>
    </row>
    <row r="12">
      <c r="A12" s="44">
        <f t="shared" si="1"/>
        <v>11</v>
      </c>
      <c r="B12" s="3"/>
    </row>
    <row r="13">
      <c r="A13" s="44">
        <f t="shared" si="1"/>
        <v>12</v>
      </c>
      <c r="B13" s="3"/>
    </row>
    <row r="14">
      <c r="A14" s="44">
        <f t="shared" si="1"/>
        <v>13</v>
      </c>
      <c r="B14" s="3"/>
    </row>
    <row r="15">
      <c r="A15" s="44">
        <f t="shared" si="1"/>
        <v>14</v>
      </c>
      <c r="B15" s="3"/>
    </row>
    <row r="16">
      <c r="A16" s="44">
        <f t="shared" si="1"/>
        <v>15</v>
      </c>
      <c r="B16" s="3"/>
    </row>
    <row r="17">
      <c r="A17" s="44"/>
      <c r="B17" s="3"/>
    </row>
    <row r="18">
      <c r="A18" s="44"/>
      <c r="B18" s="46" t="s">
        <v>154</v>
      </c>
    </row>
    <row r="19">
      <c r="A19" s="45"/>
      <c r="B19" s="3"/>
    </row>
    <row r="20">
      <c r="A20" s="4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7" t="s">
        <v>155</v>
      </c>
      <c r="B1" s="48" t="s">
        <v>156</v>
      </c>
      <c r="C1" s="49" t="s">
        <v>157</v>
      </c>
      <c r="D1" s="50" t="s">
        <v>158</v>
      </c>
      <c r="E1" s="50" t="s">
        <v>159</v>
      </c>
      <c r="F1" s="50" t="s">
        <v>160</v>
      </c>
      <c r="G1" s="50" t="s">
        <v>161</v>
      </c>
    </row>
    <row r="2">
      <c r="A2" s="51"/>
      <c r="B2" s="52"/>
      <c r="C2" s="34"/>
      <c r="D2" s="34"/>
      <c r="E2" s="34"/>
      <c r="F2" s="34"/>
      <c r="G2" s="34"/>
    </row>
    <row r="3">
      <c r="A3" s="53" t="s">
        <v>162</v>
      </c>
      <c r="B3" s="54"/>
      <c r="C3" s="55"/>
      <c r="D3" s="55"/>
      <c r="E3" s="55"/>
      <c r="F3" s="55"/>
      <c r="G3" s="55"/>
    </row>
    <row r="4">
      <c r="A4" s="51"/>
      <c r="B4" s="52"/>
      <c r="C4" s="34"/>
      <c r="D4" s="34"/>
      <c r="E4" s="34"/>
      <c r="F4" s="34"/>
      <c r="G4" s="34"/>
    </row>
    <row r="5">
      <c r="A5" s="56" t="s">
        <v>163</v>
      </c>
      <c r="B5" s="57"/>
      <c r="C5" s="31"/>
      <c r="D5" s="58">
        <f>sum(D8:D13)</f>
        <v>0</v>
      </c>
      <c r="E5" s="58">
        <f>D5</f>
        <v>0</v>
      </c>
      <c r="F5" s="31"/>
      <c r="G5" s="31"/>
    </row>
    <row r="6">
      <c r="A6" s="51"/>
      <c r="B6" s="52"/>
      <c r="C6" s="34"/>
      <c r="D6" s="34"/>
      <c r="E6" s="34"/>
      <c r="F6" s="34"/>
      <c r="G6" s="34"/>
    </row>
    <row r="7">
      <c r="A7" s="59" t="s">
        <v>164</v>
      </c>
      <c r="B7" s="60"/>
      <c r="C7" s="61"/>
      <c r="D7" s="61"/>
      <c r="E7" s="61"/>
      <c r="F7" s="61"/>
      <c r="G7" s="61"/>
    </row>
    <row r="8">
      <c r="A8" s="51"/>
      <c r="B8" s="52"/>
      <c r="C8" s="34"/>
      <c r="D8" s="34"/>
      <c r="E8" s="62" t="s">
        <v>165</v>
      </c>
      <c r="F8" s="34"/>
      <c r="G8" s="62" t="s">
        <v>166</v>
      </c>
    </row>
    <row r="9">
      <c r="A9" s="63">
        <v>1.0</v>
      </c>
      <c r="B9" s="56"/>
      <c r="C9" s="31"/>
      <c r="D9" s="58">
        <f>sum(D16:D21)</f>
        <v>0</v>
      </c>
      <c r="E9" s="58">
        <f>$D$5</f>
        <v>0</v>
      </c>
      <c r="F9" s="58">
        <f>sum(F16:F21)</f>
        <v>0</v>
      </c>
      <c r="G9" s="58">
        <f>$D$5</f>
        <v>0</v>
      </c>
    </row>
    <row r="10">
      <c r="A10" s="51">
        <f t="shared" ref="A10:A11" si="1">A9+1</f>
        <v>2</v>
      </c>
      <c r="B10" s="52"/>
      <c r="C10" s="34"/>
      <c r="D10" s="64">
        <f>sum(D22:D27)</f>
        <v>0</v>
      </c>
      <c r="E10" s="64">
        <f t="shared" ref="E10:E12" si="2">E9-D9</f>
        <v>0</v>
      </c>
      <c r="F10" s="64">
        <f>sum(F22:F27)</f>
        <v>0</v>
      </c>
      <c r="G10" s="64">
        <f t="shared" ref="G10:G12" si="3">G9-F9</f>
        <v>0</v>
      </c>
    </row>
    <row r="11">
      <c r="A11" s="63">
        <f t="shared" si="1"/>
        <v>3</v>
      </c>
      <c r="B11" s="56"/>
      <c r="C11" s="31"/>
      <c r="D11" s="58">
        <f>sum(D28:D33)</f>
        <v>0</v>
      </c>
      <c r="E11" s="58">
        <f t="shared" si="2"/>
        <v>0</v>
      </c>
      <c r="F11" s="58">
        <f>sum(F28:F33)</f>
        <v>0</v>
      </c>
      <c r="G11" s="58">
        <f t="shared" si="3"/>
        <v>0</v>
      </c>
    </row>
    <row r="12">
      <c r="A12" s="65" t="s">
        <v>5</v>
      </c>
      <c r="B12" s="66"/>
      <c r="C12" s="34"/>
      <c r="D12" s="34"/>
      <c r="E12" s="64">
        <f t="shared" si="2"/>
        <v>0</v>
      </c>
      <c r="F12" s="34"/>
      <c r="G12" s="64">
        <f t="shared" si="3"/>
        <v>0</v>
      </c>
    </row>
    <row r="13">
      <c r="A13" s="63"/>
      <c r="B13" s="56"/>
      <c r="C13" s="31"/>
      <c r="D13" s="31"/>
      <c r="E13" s="31"/>
      <c r="F13" s="31"/>
      <c r="G13" s="31"/>
    </row>
    <row r="14">
      <c r="A14" s="67" t="s">
        <v>167</v>
      </c>
      <c r="B14" s="68"/>
      <c r="C14" s="69"/>
      <c r="D14" s="69"/>
      <c r="E14" s="69"/>
      <c r="F14" s="69"/>
      <c r="G14" s="69"/>
    </row>
    <row r="15">
      <c r="A15" s="63"/>
      <c r="B15" s="56"/>
      <c r="C15" s="31"/>
      <c r="D15" s="31"/>
      <c r="E15" s="31"/>
      <c r="F15" s="31"/>
      <c r="G15" s="31"/>
    </row>
    <row r="16">
      <c r="A16" s="70">
        <f t="shared" ref="A16:B16" si="4">A9</f>
        <v>1</v>
      </c>
      <c r="B16" s="71" t="str">
        <f t="shared" si="4"/>
        <v/>
      </c>
      <c r="C16" s="34"/>
      <c r="D16" s="34"/>
      <c r="E16" s="34"/>
      <c r="F16" s="34"/>
      <c r="G16" s="34"/>
    </row>
    <row r="17">
      <c r="A17" s="63"/>
      <c r="B17" s="72"/>
      <c r="C17" s="31"/>
      <c r="D17" s="31"/>
      <c r="E17" s="31"/>
      <c r="F17" s="31"/>
      <c r="G17" s="31"/>
    </row>
    <row r="18">
      <c r="A18" s="51"/>
      <c r="B18" s="52"/>
      <c r="C18" s="66"/>
      <c r="D18" s="73"/>
      <c r="E18" s="52"/>
      <c r="F18" s="73"/>
      <c r="G18" s="52"/>
    </row>
    <row r="19">
      <c r="A19" s="63"/>
      <c r="B19" s="72"/>
      <c r="C19" s="31"/>
      <c r="D19" s="58"/>
      <c r="E19" s="31"/>
      <c r="F19" s="58"/>
      <c r="G19" s="31"/>
    </row>
    <row r="20">
      <c r="A20" s="74"/>
      <c r="B20" s="66"/>
      <c r="C20" s="66"/>
      <c r="D20" s="64"/>
      <c r="E20" s="66"/>
      <c r="F20" s="64"/>
      <c r="G20" s="66"/>
    </row>
    <row r="21">
      <c r="A21" s="63"/>
      <c r="B21" s="72"/>
      <c r="C21" s="31"/>
      <c r="D21" s="58"/>
      <c r="E21" s="31"/>
      <c r="F21" s="58"/>
      <c r="G21" s="31"/>
    </row>
    <row r="22">
      <c r="A22" s="70">
        <f t="shared" ref="A22:B22" si="5">A10</f>
        <v>2</v>
      </c>
      <c r="B22" s="71" t="str">
        <f t="shared" si="5"/>
        <v/>
      </c>
      <c r="C22" s="34"/>
      <c r="D22" s="34"/>
      <c r="E22" s="34"/>
      <c r="F22" s="34"/>
      <c r="G22" s="34"/>
    </row>
    <row r="23">
      <c r="A23" s="63"/>
      <c r="B23" s="72"/>
      <c r="C23" s="31"/>
      <c r="D23" s="31"/>
      <c r="E23" s="31"/>
      <c r="F23" s="31"/>
      <c r="G23" s="31"/>
    </row>
    <row r="24">
      <c r="A24" s="74"/>
      <c r="B24" s="66"/>
      <c r="C24" s="66"/>
      <c r="D24" s="64"/>
      <c r="E24" s="66"/>
      <c r="F24" s="64"/>
      <c r="G24" s="66"/>
    </row>
    <row r="25">
      <c r="A25" s="63"/>
      <c r="B25" s="72"/>
      <c r="C25" s="31"/>
      <c r="D25" s="58"/>
      <c r="E25" s="31"/>
      <c r="F25" s="58"/>
      <c r="G25" s="31"/>
    </row>
    <row r="26">
      <c r="A26" s="74"/>
      <c r="B26" s="66"/>
      <c r="C26" s="66"/>
      <c r="D26" s="64"/>
      <c r="E26" s="66"/>
      <c r="F26" s="64"/>
      <c r="G26" s="66"/>
    </row>
    <row r="27">
      <c r="A27" s="63"/>
      <c r="B27" s="72"/>
      <c r="C27" s="31"/>
      <c r="D27" s="58"/>
      <c r="E27" s="31"/>
      <c r="F27" s="58"/>
      <c r="G27" s="31"/>
    </row>
    <row r="28">
      <c r="A28" s="70">
        <f t="shared" ref="A28:B28" si="6">A11</f>
        <v>3</v>
      </c>
      <c r="B28" s="71" t="str">
        <f t="shared" si="6"/>
        <v/>
      </c>
      <c r="C28" s="34"/>
      <c r="D28" s="34"/>
      <c r="E28" s="34"/>
      <c r="F28" s="34"/>
      <c r="G28" s="34"/>
    </row>
    <row r="29">
      <c r="A29" s="63"/>
      <c r="B29" s="72"/>
      <c r="C29" s="31"/>
      <c r="D29" s="31"/>
      <c r="E29" s="31"/>
      <c r="F29" s="31"/>
      <c r="G29" s="31"/>
    </row>
    <row r="30">
      <c r="A30" s="74"/>
      <c r="B30" s="66"/>
      <c r="C30" s="66"/>
      <c r="D30" s="64"/>
      <c r="E30" s="66"/>
      <c r="F30" s="66"/>
      <c r="G30" s="66"/>
    </row>
    <row r="31">
      <c r="A31" s="63"/>
      <c r="B31" s="72"/>
      <c r="C31" s="31"/>
      <c r="D31" s="58"/>
      <c r="E31" s="31"/>
      <c r="F31" s="31"/>
      <c r="G31" s="31"/>
    </row>
    <row r="32">
      <c r="A32" s="74"/>
      <c r="B32" s="66"/>
      <c r="C32" s="34"/>
      <c r="D32" s="64"/>
      <c r="E32" s="66"/>
      <c r="F32" s="66"/>
      <c r="G32" s="66"/>
    </row>
    <row r="33">
      <c r="A33" s="63"/>
      <c r="B33" s="72"/>
      <c r="C33" s="75" t="s">
        <v>168</v>
      </c>
      <c r="D33" s="58"/>
      <c r="E33" s="31"/>
      <c r="F33" s="31"/>
      <c r="G33" s="31"/>
    </row>
    <row r="34">
      <c r="A34" s="74"/>
      <c r="B34" s="66"/>
      <c r="C34" s="34"/>
      <c r="D34" s="34"/>
      <c r="E34" s="34"/>
      <c r="F34" s="34"/>
      <c r="G34" s="3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7" t="s">
        <v>155</v>
      </c>
      <c r="B1" s="76" t="s">
        <v>156</v>
      </c>
      <c r="C1" s="49" t="s">
        <v>157</v>
      </c>
      <c r="D1" s="50" t="s">
        <v>158</v>
      </c>
      <c r="E1" s="50" t="s">
        <v>159</v>
      </c>
      <c r="F1" s="50" t="s">
        <v>160</v>
      </c>
      <c r="G1" s="50" t="s">
        <v>161</v>
      </c>
    </row>
    <row r="2">
      <c r="A2" s="51"/>
      <c r="B2" s="34"/>
      <c r="C2" s="34"/>
      <c r="D2" s="34"/>
      <c r="E2" s="34"/>
      <c r="F2" s="34"/>
      <c r="G2" s="34"/>
    </row>
    <row r="3">
      <c r="A3" s="53" t="s">
        <v>162</v>
      </c>
      <c r="B3" s="55"/>
      <c r="C3" s="55"/>
      <c r="D3" s="55"/>
      <c r="E3" s="55"/>
      <c r="F3" s="55"/>
      <c r="G3" s="55"/>
    </row>
    <row r="4">
      <c r="A4" s="51"/>
      <c r="B4" s="34"/>
      <c r="C4" s="34"/>
      <c r="D4" s="34"/>
      <c r="E4" s="34"/>
      <c r="F4" s="34"/>
      <c r="G4" s="34"/>
    </row>
    <row r="5">
      <c r="A5" s="56" t="s">
        <v>163</v>
      </c>
      <c r="B5" s="31"/>
      <c r="C5" s="31"/>
      <c r="D5" s="58">
        <f>sum(D8:D13)</f>
        <v>0</v>
      </c>
      <c r="E5" s="58">
        <f>D5</f>
        <v>0</v>
      </c>
      <c r="F5" s="31"/>
      <c r="G5" s="31"/>
    </row>
    <row r="6">
      <c r="A6" s="51"/>
      <c r="B6" s="34"/>
      <c r="C6" s="34"/>
      <c r="D6" s="34"/>
      <c r="E6" s="34"/>
      <c r="F6" s="34"/>
      <c r="G6" s="34"/>
    </row>
    <row r="7">
      <c r="A7" s="59" t="s">
        <v>164</v>
      </c>
      <c r="B7" s="77"/>
      <c r="C7" s="61"/>
      <c r="D7" s="61"/>
      <c r="E7" s="61"/>
      <c r="F7" s="61"/>
      <c r="G7" s="61"/>
    </row>
    <row r="8">
      <c r="A8" s="51"/>
      <c r="B8" s="34"/>
      <c r="C8" s="34"/>
      <c r="D8" s="34"/>
      <c r="E8" s="62" t="s">
        <v>165</v>
      </c>
      <c r="F8" s="34"/>
      <c r="G8" s="62" t="s">
        <v>166</v>
      </c>
    </row>
    <row r="9">
      <c r="A9" s="63">
        <v>1.0</v>
      </c>
      <c r="B9" s="31"/>
      <c r="C9" s="31"/>
      <c r="D9" s="58">
        <f>sum(D16:D21)</f>
        <v>0</v>
      </c>
      <c r="E9" s="58">
        <f>$D$5</f>
        <v>0</v>
      </c>
      <c r="F9" s="58">
        <f>sum(F16:F21)</f>
        <v>0</v>
      </c>
      <c r="G9" s="58">
        <f>$D$5</f>
        <v>0</v>
      </c>
    </row>
    <row r="10">
      <c r="A10" s="51">
        <f t="shared" ref="A10:A11" si="1">A9+1</f>
        <v>2</v>
      </c>
      <c r="B10" s="34"/>
      <c r="C10" s="34"/>
      <c r="D10" s="64">
        <f>sum(D22:D27)</f>
        <v>0</v>
      </c>
      <c r="E10" s="64">
        <f t="shared" ref="E10:E12" si="2">E9-D9</f>
        <v>0</v>
      </c>
      <c r="F10" s="64">
        <f>sum(F22:F27)</f>
        <v>0</v>
      </c>
      <c r="G10" s="64">
        <f t="shared" ref="G10:G12" si="3">G9-F9</f>
        <v>0</v>
      </c>
    </row>
    <row r="11">
      <c r="A11" s="63">
        <f t="shared" si="1"/>
        <v>3</v>
      </c>
      <c r="B11" s="31"/>
      <c r="C11" s="31"/>
      <c r="D11" s="58">
        <f>sum(D28:D33)</f>
        <v>0</v>
      </c>
      <c r="E11" s="58">
        <f t="shared" si="2"/>
        <v>0</v>
      </c>
      <c r="F11" s="58">
        <f>sum(F28:F33)</f>
        <v>0</v>
      </c>
      <c r="G11" s="58">
        <f t="shared" si="3"/>
        <v>0</v>
      </c>
    </row>
    <row r="12">
      <c r="A12" s="65" t="s">
        <v>5</v>
      </c>
      <c r="B12" s="34"/>
      <c r="C12" s="34"/>
      <c r="D12" s="34"/>
      <c r="E12" s="64">
        <f t="shared" si="2"/>
        <v>0</v>
      </c>
      <c r="F12" s="34"/>
      <c r="G12" s="64">
        <f t="shared" si="3"/>
        <v>0</v>
      </c>
    </row>
    <row r="13">
      <c r="A13" s="63"/>
      <c r="B13" s="31"/>
      <c r="C13" s="31"/>
      <c r="D13" s="31"/>
      <c r="E13" s="31"/>
      <c r="F13" s="31"/>
      <c r="G13" s="31"/>
    </row>
    <row r="14">
      <c r="A14" s="67" t="s">
        <v>167</v>
      </c>
      <c r="B14" s="68"/>
      <c r="C14" s="69"/>
      <c r="D14" s="69"/>
      <c r="E14" s="69"/>
      <c r="F14" s="69"/>
      <c r="G14" s="69"/>
    </row>
    <row r="15">
      <c r="A15" s="63"/>
      <c r="B15" s="31"/>
      <c r="C15" s="31"/>
      <c r="D15" s="31"/>
      <c r="E15" s="31"/>
      <c r="F15" s="31"/>
      <c r="G15" s="31"/>
    </row>
    <row r="16">
      <c r="A16" s="70">
        <f>A9</f>
        <v>1</v>
      </c>
      <c r="B16" s="34"/>
      <c r="C16" s="34"/>
      <c r="D16" s="34"/>
      <c r="E16" s="34"/>
      <c r="F16" s="34"/>
      <c r="G16" s="34"/>
    </row>
    <row r="17">
      <c r="A17" s="63"/>
      <c r="B17" s="72"/>
      <c r="C17" s="31"/>
      <c r="D17" s="31"/>
      <c r="E17" s="31"/>
      <c r="F17" s="31"/>
      <c r="G17" s="31"/>
    </row>
    <row r="18">
      <c r="A18" s="51"/>
      <c r="B18" s="78"/>
      <c r="C18" s="66"/>
      <c r="D18" s="73"/>
      <c r="E18" s="52"/>
      <c r="F18" s="73"/>
      <c r="G18" s="52"/>
    </row>
    <row r="19">
      <c r="A19" s="63"/>
      <c r="B19" s="31"/>
      <c r="C19" s="31"/>
      <c r="D19" s="58"/>
      <c r="E19" s="31"/>
      <c r="F19" s="58"/>
      <c r="G19" s="31"/>
    </row>
    <row r="20">
      <c r="A20" s="74"/>
      <c r="B20" s="34"/>
      <c r="C20" s="66"/>
      <c r="D20" s="64"/>
      <c r="E20" s="66"/>
      <c r="F20" s="64"/>
      <c r="G20" s="66"/>
    </row>
    <row r="21">
      <c r="A21" s="63"/>
      <c r="B21" s="31"/>
      <c r="C21" s="31"/>
      <c r="D21" s="58"/>
      <c r="E21" s="31"/>
      <c r="F21" s="58"/>
      <c r="G21" s="31"/>
    </row>
    <row r="22">
      <c r="A22" s="70">
        <f>A10</f>
        <v>2</v>
      </c>
      <c r="B22" s="34"/>
      <c r="C22" s="34"/>
      <c r="D22" s="34"/>
      <c r="E22" s="34"/>
      <c r="F22" s="34"/>
      <c r="G22" s="34"/>
    </row>
    <row r="23">
      <c r="A23" s="63"/>
      <c r="B23" s="72"/>
      <c r="C23" s="31"/>
      <c r="D23" s="31"/>
      <c r="E23" s="31"/>
      <c r="F23" s="31"/>
      <c r="G23" s="31"/>
    </row>
    <row r="24">
      <c r="A24" s="74"/>
      <c r="B24" s="34"/>
      <c r="C24" s="66"/>
      <c r="D24" s="64"/>
      <c r="E24" s="66"/>
      <c r="F24" s="64"/>
      <c r="G24" s="66"/>
    </row>
    <row r="25">
      <c r="A25" s="63"/>
      <c r="B25" s="31"/>
      <c r="C25" s="31"/>
      <c r="D25" s="58"/>
      <c r="E25" s="31"/>
      <c r="F25" s="58"/>
      <c r="G25" s="31"/>
    </row>
    <row r="26">
      <c r="A26" s="74"/>
      <c r="B26" s="34"/>
      <c r="C26" s="66"/>
      <c r="D26" s="64"/>
      <c r="E26" s="66"/>
      <c r="F26" s="64"/>
      <c r="G26" s="66"/>
    </row>
    <row r="27">
      <c r="A27" s="63"/>
      <c r="B27" s="31"/>
      <c r="C27" s="31"/>
      <c r="D27" s="58"/>
      <c r="E27" s="31"/>
      <c r="F27" s="58"/>
      <c r="G27" s="31"/>
    </row>
    <row r="28">
      <c r="A28" s="70">
        <f>A11</f>
        <v>3</v>
      </c>
      <c r="B28" s="34"/>
      <c r="C28" s="34"/>
      <c r="D28" s="34"/>
      <c r="E28" s="34"/>
      <c r="F28" s="34"/>
      <c r="G28" s="34"/>
    </row>
    <row r="29">
      <c r="A29" s="63"/>
      <c r="B29" s="72"/>
      <c r="C29" s="31"/>
      <c r="D29" s="31"/>
      <c r="E29" s="31"/>
      <c r="F29" s="31"/>
      <c r="G29" s="31"/>
    </row>
    <row r="30">
      <c r="A30" s="74"/>
      <c r="B30" s="34"/>
      <c r="C30" s="66"/>
      <c r="D30" s="64"/>
      <c r="E30" s="66"/>
      <c r="F30" s="66"/>
      <c r="G30" s="66"/>
    </row>
    <row r="31">
      <c r="A31" s="63"/>
      <c r="B31" s="31"/>
      <c r="C31" s="31"/>
      <c r="D31" s="58"/>
      <c r="E31" s="31"/>
      <c r="F31" s="31"/>
      <c r="G31" s="31"/>
    </row>
    <row r="32">
      <c r="A32" s="74"/>
      <c r="B32" s="34"/>
      <c r="C32" s="34"/>
      <c r="D32" s="64"/>
      <c r="E32" s="66"/>
      <c r="F32" s="66"/>
      <c r="G32" s="66"/>
    </row>
    <row r="33">
      <c r="A33" s="63"/>
      <c r="B33" s="31"/>
      <c r="C33" s="75" t="s">
        <v>168</v>
      </c>
      <c r="D33" s="58"/>
      <c r="E33" s="31"/>
      <c r="F33" s="31"/>
      <c r="G33" s="31"/>
    </row>
    <row r="34">
      <c r="A34" s="74"/>
      <c r="B34" s="34"/>
      <c r="C34" s="34"/>
      <c r="D34" s="34"/>
      <c r="E34" s="34"/>
      <c r="F34" s="34"/>
      <c r="G34" s="3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9" t="s">
        <v>70</v>
      </c>
      <c r="B1" s="48" t="s">
        <v>169</v>
      </c>
      <c r="C1" s="48" t="s">
        <v>170</v>
      </c>
      <c r="D1" s="80" t="s">
        <v>171</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172</v>
      </c>
      <c r="B1" s="4" t="s">
        <v>173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70</v>
      </c>
      <c r="B1" s="4" t="s">
        <v>174</v>
      </c>
      <c r="C1" s="4" t="s">
        <v>175</v>
      </c>
      <c r="D1" s="4" t="s">
        <v>176</v>
      </c>
      <c r="E1" s="4" t="s">
        <v>177</v>
      </c>
      <c r="F1" s="4" t="s">
        <v>77</v>
      </c>
    </row>
    <row r="2">
      <c r="A2" s="3"/>
      <c r="B2" s="2" t="s">
        <v>178</v>
      </c>
      <c r="C2" s="2" t="s">
        <v>179</v>
      </c>
      <c r="D2" s="2">
        <v>55.0</v>
      </c>
      <c r="E2" s="2" t="s">
        <v>180</v>
      </c>
      <c r="F2" s="2" t="s">
        <v>181</v>
      </c>
    </row>
    <row r="3">
      <c r="A3" s="3"/>
      <c r="B3" s="2" t="s">
        <v>178</v>
      </c>
      <c r="C3" s="2" t="s">
        <v>182</v>
      </c>
      <c r="D3" s="2">
        <v>10.2</v>
      </c>
      <c r="E3" s="2" t="s">
        <v>180</v>
      </c>
      <c r="F3" s="3"/>
    </row>
    <row r="4">
      <c r="A4" s="3"/>
      <c r="B4" s="2" t="s">
        <v>178</v>
      </c>
      <c r="C4" s="2" t="s">
        <v>183</v>
      </c>
      <c r="D4" s="2">
        <v>3.8</v>
      </c>
      <c r="E4" s="2" t="s">
        <v>180</v>
      </c>
      <c r="F4" s="3"/>
    </row>
    <row r="5">
      <c r="A5" s="3"/>
      <c r="B5" s="2" t="s">
        <v>178</v>
      </c>
      <c r="C5" s="2" t="s">
        <v>184</v>
      </c>
      <c r="D5" s="2">
        <v>5.9</v>
      </c>
      <c r="E5" s="2" t="s">
        <v>185</v>
      </c>
      <c r="F5" s="3"/>
    </row>
    <row r="6">
      <c r="A6" s="3"/>
      <c r="B6" s="2" t="s">
        <v>178</v>
      </c>
      <c r="C6" s="2" t="s">
        <v>186</v>
      </c>
      <c r="D6" s="2">
        <v>2.0</v>
      </c>
      <c r="E6" s="2" t="s">
        <v>180</v>
      </c>
      <c r="F6" s="3"/>
    </row>
    <row r="7">
      <c r="A7" s="3"/>
      <c r="B7" s="2" t="s">
        <v>178</v>
      </c>
      <c r="C7" s="2" t="s">
        <v>187</v>
      </c>
      <c r="D7" s="2">
        <v>19.2</v>
      </c>
      <c r="E7" s="2" t="s">
        <v>180</v>
      </c>
      <c r="F7" s="3"/>
    </row>
    <row r="8">
      <c r="A8" s="3"/>
      <c r="B8" s="2" t="s">
        <v>178</v>
      </c>
      <c r="C8" s="2" t="s">
        <v>188</v>
      </c>
      <c r="D8" s="2">
        <v>7.1</v>
      </c>
      <c r="E8" s="2" t="s">
        <v>180</v>
      </c>
      <c r="F8" s="3"/>
    </row>
    <row r="9">
      <c r="A9" s="3"/>
      <c r="B9" s="3"/>
      <c r="C9" s="3"/>
      <c r="D9" s="3"/>
      <c r="E9" s="3"/>
      <c r="F9" s="3"/>
    </row>
    <row r="10">
      <c r="A10" s="3"/>
      <c r="B10" s="3"/>
      <c r="C10" s="3"/>
      <c r="D10" s="3"/>
      <c r="E10" s="3"/>
      <c r="F10" s="3"/>
    </row>
    <row r="11">
      <c r="A11" s="3"/>
      <c r="B11" s="3"/>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1" t="str">
        <f>'Project Team'!A1</f>
        <v>Last Name</v>
      </c>
      <c r="B1" s="81" t="str">
        <f>'Project Team'!B1</f>
        <v>First Name</v>
      </c>
      <c r="C1" s="82" t="s">
        <v>189</v>
      </c>
      <c r="D1" s="83"/>
      <c r="E1" s="84"/>
      <c r="F1" s="85"/>
      <c r="G1" s="86"/>
      <c r="H1" s="86"/>
    </row>
    <row r="2">
      <c r="A2" s="87" t="str">
        <f>'Project Team'!A2</f>
        <v>Brüggemann</v>
      </c>
      <c r="B2" s="87" t="str">
        <f>'Project Team'!B2</f>
        <v>Jonas</v>
      </c>
      <c r="C2" s="88">
        <v>0.0</v>
      </c>
      <c r="D2" s="89"/>
      <c r="E2" s="90">
        <f>average(C2:C10)</f>
        <v>0</v>
      </c>
      <c r="F2" s="91" t="str">
        <f>if(stdev(C2:C7) &gt; 0,"NOK", "OK")</f>
        <v>OK</v>
      </c>
      <c r="G2" s="92"/>
      <c r="H2" s="92"/>
    </row>
    <row r="3">
      <c r="A3" s="93" t="str">
        <f>'Project Team'!A3</f>
        <v>Khan</v>
      </c>
      <c r="B3" s="93" t="str">
        <f>'Project Team'!B3</f>
        <v>Muhamad</v>
      </c>
      <c r="C3" s="88">
        <v>0.0</v>
      </c>
      <c r="D3" s="94"/>
      <c r="G3" s="95"/>
      <c r="H3" s="95"/>
    </row>
    <row r="4">
      <c r="A4" s="87" t="str">
        <f>'Project Team'!A4</f>
        <v>Ebied</v>
      </c>
      <c r="B4" s="87" t="str">
        <f>'Project Team'!B4</f>
        <v>Andrew</v>
      </c>
      <c r="C4" s="96"/>
      <c r="D4" s="89"/>
      <c r="G4" s="92"/>
      <c r="H4" s="92"/>
    </row>
    <row r="5">
      <c r="A5" s="93" t="str">
        <f>'Project Team'!A5</f>
        <v>Vinzens</v>
      </c>
      <c r="B5" s="93" t="str">
        <f>'Project Team'!B5</f>
        <v>Hannes</v>
      </c>
      <c r="C5" s="97"/>
      <c r="D5" s="98"/>
      <c r="E5" s="98"/>
      <c r="F5" s="98"/>
      <c r="G5" s="95"/>
      <c r="H5" s="95"/>
    </row>
    <row r="6">
      <c r="A6" s="87" t="str">
        <f>'Project Team'!A6</f>
        <v>Ahmed</v>
      </c>
      <c r="B6" s="87" t="str">
        <f>'Project Team'!B6</f>
        <v>Hasnat</v>
      </c>
      <c r="C6" s="96"/>
      <c r="D6" s="99"/>
      <c r="E6" s="100">
        <v>0.0</v>
      </c>
      <c r="F6" s="101" t="s">
        <v>190</v>
      </c>
      <c r="G6" s="92"/>
      <c r="H6" s="92"/>
    </row>
    <row r="7">
      <c r="A7" s="93" t="str">
        <f t="shared" ref="A7:B7" si="1">#REF!</f>
        <v>#REF!</v>
      </c>
      <c r="B7" s="93" t="str">
        <f t="shared" si="1"/>
        <v>#REF!</v>
      </c>
      <c r="C7" s="96"/>
      <c r="D7" s="98"/>
      <c r="E7" s="100">
        <v>1.0</v>
      </c>
      <c r="F7" s="101" t="s">
        <v>191</v>
      </c>
      <c r="G7" s="95"/>
      <c r="H7" s="95"/>
    </row>
    <row r="8">
      <c r="A8" s="87" t="str">
        <f>'Project Team'!A8</f>
        <v>Sandt</v>
      </c>
      <c r="B8" s="87" t="str">
        <f>'Project Team'!B8</f>
        <v>Eloi</v>
      </c>
      <c r="C8" s="97"/>
      <c r="D8" s="99"/>
      <c r="E8" s="100">
        <v>2.0</v>
      </c>
      <c r="F8" s="101" t="s">
        <v>192</v>
      </c>
      <c r="G8" s="92"/>
      <c r="H8" s="92"/>
    </row>
    <row r="9">
      <c r="A9" s="93" t="str">
        <f>'Project Team'!A7</f>
        <v>Busse</v>
      </c>
      <c r="B9" s="93" t="str">
        <f>'Project Team'!B7</f>
        <v>Tobias</v>
      </c>
      <c r="C9" s="97"/>
      <c r="D9" s="98"/>
      <c r="E9" s="100">
        <v>3.0</v>
      </c>
      <c r="F9" s="101" t="s">
        <v>193</v>
      </c>
      <c r="G9" s="95"/>
      <c r="H9" s="95"/>
    </row>
    <row r="10">
      <c r="A10" s="87" t="str">
        <f>'Project Team'!A10</f>
        <v>Zeeshan</v>
      </c>
      <c r="B10" s="87" t="str">
        <f>'Project Team'!B10</f>
        <v>Muhamad</v>
      </c>
      <c r="C10" s="97"/>
      <c r="D10" s="99"/>
      <c r="E10" s="100">
        <v>5.0</v>
      </c>
      <c r="F10" s="101" t="s">
        <v>194</v>
      </c>
      <c r="G10" s="92"/>
      <c r="H10" s="92"/>
    </row>
    <row r="11">
      <c r="A11" s="93" t="str">
        <f>'Project Team'!A11</f>
        <v>Haseeb</v>
      </c>
      <c r="B11" s="93" t="str">
        <f>'Project Team'!B11</f>
        <v>Abdul</v>
      </c>
      <c r="C11" s="96"/>
      <c r="D11" s="98"/>
      <c r="E11" s="100">
        <v>8.0</v>
      </c>
      <c r="F11" s="101" t="s">
        <v>195</v>
      </c>
      <c r="G11" s="95"/>
      <c r="H11" s="95"/>
    </row>
    <row r="12">
      <c r="A12" s="87"/>
      <c r="B12" s="87"/>
      <c r="C12" s="96"/>
      <c r="D12" s="99"/>
      <c r="E12" s="100">
        <v>13.0</v>
      </c>
      <c r="F12" s="101" t="s">
        <v>196</v>
      </c>
      <c r="G12" s="92"/>
      <c r="H12" s="92"/>
    </row>
    <row r="13">
      <c r="A13" s="93"/>
      <c r="B13" s="93"/>
      <c r="C13" s="98"/>
      <c r="D13" s="98"/>
      <c r="E13" s="98"/>
      <c r="F13" s="98"/>
      <c r="G13" s="95"/>
      <c r="H13" s="95"/>
    </row>
    <row r="14">
      <c r="A14" s="102" t="s">
        <v>197</v>
      </c>
      <c r="B14" s="103"/>
      <c r="C14" s="103"/>
      <c r="D14" s="103"/>
      <c r="E14" s="103"/>
      <c r="F14" s="103"/>
      <c r="G14" s="103"/>
      <c r="H14" s="103"/>
    </row>
    <row r="15">
      <c r="A15" s="104"/>
      <c r="B15" s="104"/>
      <c r="C15" s="104"/>
      <c r="D15" s="104"/>
      <c r="E15" s="104"/>
      <c r="F15" s="104"/>
      <c r="G15" s="104"/>
      <c r="H15" s="104"/>
    </row>
    <row r="16">
      <c r="A16" s="105" t="s">
        <v>198</v>
      </c>
      <c r="B16" s="106"/>
      <c r="C16" s="106"/>
      <c r="D16" s="106"/>
      <c r="E16" s="106"/>
      <c r="F16" s="106"/>
      <c r="G16" s="106"/>
      <c r="H16" s="106"/>
    </row>
    <row r="17">
      <c r="A17" s="107" t="s">
        <v>199</v>
      </c>
      <c r="B17" s="104"/>
      <c r="C17" s="104"/>
      <c r="D17" s="104"/>
      <c r="E17" s="104"/>
      <c r="F17" s="104"/>
      <c r="G17" s="104"/>
      <c r="H17" s="104"/>
    </row>
    <row r="18">
      <c r="A18" s="105" t="s">
        <v>200</v>
      </c>
      <c r="B18" s="106"/>
      <c r="C18" s="106"/>
      <c r="D18" s="106"/>
      <c r="E18" s="106"/>
      <c r="F18" s="106"/>
      <c r="G18" s="106"/>
      <c r="H18" s="106"/>
    </row>
    <row r="19">
      <c r="A19" s="104"/>
      <c r="B19" s="104"/>
      <c r="C19" s="104"/>
      <c r="D19" s="104"/>
      <c r="E19" s="104"/>
      <c r="F19" s="104"/>
      <c r="G19" s="104"/>
      <c r="H19" s="104"/>
    </row>
    <row r="20">
      <c r="A20" s="106"/>
      <c r="B20" s="106"/>
      <c r="C20" s="106"/>
      <c r="D20" s="106"/>
      <c r="E20" s="106"/>
      <c r="F20" s="106"/>
      <c r="G20" s="106"/>
      <c r="H20" s="10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