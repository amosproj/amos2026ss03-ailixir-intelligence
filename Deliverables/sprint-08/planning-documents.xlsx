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Burndown-Chart Final Project R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<sst xmlns="http://schemas.openxmlformats.org/spreadsheetml/2006/main" count="752" uniqueCount="522">
  <si>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</si>
  <si>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</si>
  <si>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</si>
  <si>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</si>
  <si>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</si>
  <si>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</si>
  <si>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</si>
  <si>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</si>
  <si>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</si>
  <si>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</si>
  <si>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</si>
  <si>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</si>
  <si>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</si>
  <si>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</si>
  <si>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</si>
  <si>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</si>
  <si>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</si>
  <si>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</si>
  <si>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</si>
  <si>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</si>
  <si>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</si>
  <si>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</si>
  <si>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</si>
  <si>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</si>
  <si>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</si>
  <si>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</si>
  <si>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</si>
  <si>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</si>
  <si>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</si>
  <si>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</si>
  <si>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</si>
  <si>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</si>
  <si>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</si>
  <si>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</si>
  <si>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</si>
  <si>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</si>
  <si>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</si>
  <si>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</si>
  <si>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</si>
  <si>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</si>
  <si>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</si>
  <si>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</si>
  <si>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</si>
  <si>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</si>
  <si>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</si>
  <si>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</si>
  <si>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</si>
  <si>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</si>
  <si>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</si>
  <si>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</si>
  <si>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</si>
  <si>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</si>
  <si>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</si>
  <si>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</si>
  <si>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</si>
  <si>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</si>
  <si>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</si>
  <si>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</si>
  <si>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</si>
  <si>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</si>
  <si>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</si>
  <si>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</si>
  <si>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</si>
  <si>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</si>
  <si>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</si>
  <si>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</si>
  <si>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</si>
  <si>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</si>
  <si>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</si>
  <si>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</si>
  <si>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</si>
  <si>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</si>
  <si>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</si>
  <si>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</si>
  <si>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</si>
  <si>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</si>
  <si>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</si>
  <si>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</si>
  <si>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</si>
  <si>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</si>
  <si>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</si>
  <si>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</si>
  <si>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</si>
  <si>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</si>
  <si>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</si>
  <si>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</si>
  <si>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</si>
  <si>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</si>
  <si>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</si>
  <si>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</si>
  <si>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</si>
  <si>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</si>
  <si>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</si>
  <si>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</si>
  <si>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</si>
  <si>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</si>
  <si>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</si>
  <si>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</si>
  <si>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</si>
  <si>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</si>
  <si>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</si>
  <si>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</si>
  <si>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</si>
  <si>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</si>
  <si>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</si>
  <si>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</si>
  <si>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</si>
  <si>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</si>
  <si>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</si>
  <si>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</si>
  <si>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</si>
  <si>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</si>
  <si>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</si>
  <si>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</si>
  <si>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</si>
  <si>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</si>
  <si>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</si>
  <si>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</si>
  <si>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</si>
  <si>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</si>
  <si>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</si>
  <si>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</si>
  <si>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</si>
  <si>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</si>
  <si>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</si>
  <si>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</si>
  <si>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</si>
  <si>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</si>
  <si>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</si>
  <si>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</si>
  <si>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</si>
  <si>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</si>
  <si>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</si>
  <si>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</si>
  <si>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</si>
  <si>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</si>
  <si>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</si>
  <si>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</si>
  <si>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</si>
  <si>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</si>
  <si>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</si>
  <si>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</si>
  <si>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</si>
  <si>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</si>
  <si>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</si>
  <si>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</si>
  <si>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</si>
  <si>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</si>
  <si>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</si>
  <si>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</si>
  <si>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</si>
  <si>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</si>
  <si>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</si>
  <si>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</si>
  <si>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</si>
  <si>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</si>
  <si>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</si>
  <si>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</si>
  <si>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</si>
  <si>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</si>
  <si>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</si>
  <si>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</si>
  <si>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</si>
  <si>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</si>
  <si>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</si>
  <si>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</si>
  <si>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</si>
  <si>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</si>
  <si>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</si>
  <si>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</si>
  <si>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</si>
  <si>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</si>
  <si>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</si>
  <si>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</si>
  <si>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</si>
  <si>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</si>
  <si>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</si>
  <si>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</si>
  <si>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</si>
  <si>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</si>
  <si>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</si>
  <si>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</si>
  <si>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</si>
  <si>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</si>
  <si>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</si>
  <si>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</si>
  <si>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</si>
  <si>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</si>
  <si>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</si>
  <si>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</si>
  <si>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</si>
  <si>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</si>
  <si>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</si>
  <si>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</si>
  <si>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</si>
  <si>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</si>
  <si>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</si>
  <si>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</si>
  <si>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</si>
  <si>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</si>
  <si>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</si>
  <si>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</si>
  <si>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</si>
  <si>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</si>
  <si>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</si>
  <si>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</si>
  <si>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</si>
  <si>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</si>
  <si>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</si>
  <si>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</si>
  <si>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</si>
  <si>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</si>
  <si>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</si>
  <si>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</si>
  <si>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</si>
  <si>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</si>
  <si>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</si>
  <si>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</si>
  <si>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</si>
  <si>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</si>
  <si>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</si>
  <si>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</si>
  <si>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</si>
  <si>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</si>
  <si>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</si>
  <si>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</si>
  <si>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</si>
  <si>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</si>
  <si>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</si>
  <si>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</si>
  <si>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</si>
  <si>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</si>
  <si>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</si>
  <si>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</si>
  <si>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</si>
  <si>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</si>
  <si>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</si>
  <si>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</si>
  <si>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</si>
  <si>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</si>
  <si>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</si>
  <si>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</si>
  <si>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</si>
  <si>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</si>
  <si>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</si>
  <si>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</si>
  <si>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</si>
  <si>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</si>
  <si>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</si>
  <si>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</si>
  <si>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</si>
  <si>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</si>
  <si>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</si>
  <si>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</si>
  <si>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</si>
  <si>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</si>
  <si>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</si>
  <si>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</si>
  <si>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</si>
  <si>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Improve knowledge graph quality, introduce AI chat capabilities, and enhance the user experience with document handling and usability improvements.</t>
  </si>
  <si>
    <t xml:space="preserve">Create a unified user knowledge graph and connect it to the chat system, enabling context-aware conversations and persistent chat management.
</t>
  </si>
  <si>
    <t>Enable an AI chat assistant experience through Knowledge Graph improvements, chat integration, and voice/camera capabilities.</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</si>
  <si>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</si>
  <si>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</si>
  <si>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</si>
  <si>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</si>
  <si>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</si>
  <si>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</si>
  <si>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</si>
  <si>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</si>
  <si>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</si>
  <si>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</si>
  <si>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</si>
  <si>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</si>
  <si>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</si>
  <si>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</si>
  <si>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</si>
  <si>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</si>
  <si>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</si>
  <si>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</si>
  <si>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</si>
  <si>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</si>
  <si>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</si>
  <si>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</si>
  <si>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</si>
  <si>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</si>
  <si>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</si>
  <si>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</si>
  <si>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</si>
  <si>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</si>
  <si>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</si>
  <si>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</si>
  <si>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</si>
  <si>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</si>
  <si>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</si>
  <si>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</si>
  <si>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</si>
  <si>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</si>
  <si>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</si>
  <si>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</si>
  <si>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</si>
  <si>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</si>
  <si>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</si>
  <si>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</si>
  <si>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</si>
  <si>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</si>
  <si>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</si>
  <si>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</si>
  <si>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</si>
  <si>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</si>
  <si>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</si>
  <si>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</si>
  <si>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</si>
  <si>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PLEASE CREATE THE BURNDOWN CHART ON A NEW TAB USING THE DATA FROM THIS TAB</t>
  </si>
  <si>
    <t>Create a unified user knowledge graph and connect it to the chat system, enabling context-aware conversations and persistent chat management.</t>
  </si>
  <si>
    <t>Integrate external knowledge sources such as research papers as AI chat contexts and visualise clickable sources in AI answers.</t>
  </si>
  <si>
    <t>Implement normal RAG chat as comparison to knowledge graph contexts in AI chats.</t>
  </si>
  <si>
    <t>Finalise features, documentation, bug fixes and polishing of UX.</t>
  </si>
  <si>
    <t>Buffer</t>
  </si>
  <si>
    <t>Fix: Knowledge Graph Extraction API</t>
  </si>
  <si>
    <t>not completed</t>
  </si>
  <si>
    <t>Knowledge Graph Refinement</t>
  </si>
  <si>
    <t>API: LLM Chat Agent</t>
  </si>
  <si>
    <t>Deleting Documents</t>
  </si>
  <si>
    <t>Fix: Account Signup</t>
  </si>
  <si>
    <t>Preview of Uploaded Documents</t>
  </si>
  <si>
    <t>Componentisation - Technical Debt - Beautify</t>
  </si>
  <si>
    <t>Fix: Knowledge Graph Extration API</t>
  </si>
  <si>
    <t>Knowledge Graph Context into LLM Prompts</t>
  </si>
  <si>
    <t>Deploy user knowledge graph in backend</t>
  </si>
  <si>
    <t>Creating Chats</t>
  </si>
  <si>
    <t>Persistent Chat History</t>
  </si>
  <si>
    <t>Chat Overview</t>
  </si>
  <si>
    <t>Chat Database</t>
  </si>
  <si>
    <t>Combining all document sub-graphs into one</t>
  </si>
  <si>
    <t>Fix: Retrieving the Knowledge Graph</t>
  </si>
  <si>
    <t>Ensure Knowledge Graph Correctness</t>
  </si>
  <si>
    <t>Chat Agent Memory</t>
  </si>
  <si>
    <t>API Test Environment</t>
  </si>
  <si>
    <t>Connect Chat Screen with LLM Chat Agent</t>
  </si>
  <si>
    <t>Dictate Chat Function</t>
  </si>
  <si>
    <t>Voice Chat Indicator</t>
  </si>
  <si>
    <t>Integrating Camera Scanning</t>
  </si>
  <si>
    <t>Password show/hide button</t>
  </si>
  <si>
    <t>Knowledge Graph for Research Papers</t>
  </si>
  <si>
    <t>Scraping external research papers</t>
  </si>
  <si>
    <t>Ingest external knowledge sources into LLM context / knowledge graph</t>
  </si>
  <si>
    <t>Sources for an LLM Answer</t>
  </si>
  <si>
    <t>Displaying LLM answer sources</t>
  </si>
  <si>
    <t>Filtering Chats</t>
  </si>
  <si>
    <t>Filtering Documents</t>
  </si>
  <si>
    <t>Voice Chat Backend Endpoint</t>
  </si>
  <si>
    <t>LLM Live API Connection</t>
  </si>
  <si>
    <t>Transcribing Microphone Input</t>
  </si>
  <si>
    <t xml:space="preserve">Documents RAG LLM context </t>
  </si>
  <si>
    <t>Switch between Knowledge Graph and RAG Context</t>
  </si>
  <si>
    <t>Design Test Study for Approach Comparison</t>
  </si>
  <si>
    <t>Written Report Comparing Approaches on Test Data</t>
  </si>
  <si>
    <t>Update User, Build and Design documentation</t>
  </si>
  <si>
    <t>Code Cleanup and documentation</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</si>
  <si>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</si>
  <si>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</si>
  <si>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</si>
  <si>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</si>
  <si>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</si>
  <si>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</si>
  <si>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</si>
  <si>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</si>
  <si>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</si>
  <si>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</si>
  <si>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</si>
  <si>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</si>
  <si>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</si>
  <si>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</si>
  <si>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</si>
  <si>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</si>
  <si>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</si>
  <si>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</si>
  <si>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frontend</t>
  </si>
  <si>
    <t>@langchain/react</t>
  </si>
  <si>
    <t>^1.0.17</t>
  </si>
  <si>
    <t>MIT</t>
  </si>
  <si>
    <t>@langchain/core</t>
  </si>
  <si>
    <t>^1.1.48</t>
  </si>
  <si>
    <t>@assistant-ui/react-native</t>
  </si>
  <si>
    <t>^0.1.21</t>
  </si>
  <si>
    <t>@assistant-ui/react-langchain</t>
  </si>
  <si>
    <t>^0.0.12</t>
  </si>
  <si>
    <t>@assistant-ui/react</t>
  </si>
  <si>
    <t>^0.14.14</t>
  </si>
  <si>
    <t>@react-navigation/bottom-tabs</t>
  </si>
  <si>
    <t>^7.15.5</t>
  </si>
  <si>
    <t>@react-navigation/elements</t>
  </si>
  <si>
    <t>^2.9.10</t>
  </si>
  <si>
    <t>@react-navigation/native</t>
  </si>
  <si>
    <t>^7.1.33</t>
  </si>
  <si>
    <t>@tamagui/config</t>
  </si>
  <si>
    <t>^2.0.0-rc.41</t>
  </si>
  <si>
    <t>@tamagui/lucide-icons-2</t>
  </si>
  <si>
    <t>expo</t>
  </si>
  <si>
    <t>~55.0.15</t>
  </si>
  <si>
    <t>expo-constants</t>
  </si>
  <si>
    <t>~55.0.14</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</si>
  <si>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</si>
  <si>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</si>
  <si>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</si>
  <si>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</si>
  <si>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</si>
  <si>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</si>
  <si>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</si>
  <si>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</si>
  <si>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</si>
  <si>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</si>
  <si>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</si>
  <si>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</si>
  <si>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</si>
  <si>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</si>
  <si>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</si>
  <si>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</si>
  <si>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</si>
  <si>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</si>
  <si>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</si>
  <si>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</si>
  <si>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</si>
  <si>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</si>
  <si>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</si>
  <si>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</si>
  <si>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</si>
  <si>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</si>
  <si>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</si>
  <si>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</si>
  <si>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</si>
  <si>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</si>
  <si>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</si>
  <si>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</si>
  <si>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</si>
  <si>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</si>
  <si>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</si>
  <si>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</si>
  <si>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</si>
  <si>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</si>
  <si>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</si>
  <si>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</si>
  <si>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</si>
  <si>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</si>
  <si>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</si>
  <si>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</si>
  <si>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</si>
  <si>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</si>
  <si>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</si>
  <si>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</si>
  <si>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</si>
  <si>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</si>
  <si>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</si>
  <si>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</si>
  <si>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</si>
  <si>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</si>
  <si>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</si>
  <si>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</si>
  <si>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</si>
  <si>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</si>
  <si>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</si>
  <si>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</si>
  <si>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Apache-2.0</t>
  </si>
  <si>
    <t>jotai</t>
  </si>
  <si>
    <t>^5.100.9</t>
  </si>
  <si>
    <t>@tanstack/query</t>
  </si>
  <si>
    <t>^2.20.0</t>
  </si>
  <si>
    <t>expo-linear-gradient</t>
  </si>
  <si>
    <t>expo-clipboard</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</si>
  <si>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</si>
  <si>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</si>
  <si>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</si>
  <si>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</si>
  <si>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</si>
  <si>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</si>
  <si>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</si>
  <si>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</si>
  <si>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</si>
  <si>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</si>
  <si>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</si>
  <si>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</si>
  <si>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</si>
  <si>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</si>
  <si>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</si>
  <si>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</si>
  <si>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</si>
  <si>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</si>
  <si>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</si>
  <si>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</si>
  <si>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</si>
  <si>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</si>
  <si>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</si>
  <si>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</si>
  <si>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</si>
  <si>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</si>
  <si>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</si>
  <si>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</si>
  <si>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</si>
  <si>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</si>
  <si>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</si>
  <si>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</si>
  <si>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</si>
  <si>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firebase-admin</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</si>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</sst>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3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8"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5"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6" fontId="6" numFmtId="0" xfId="0" applyAlignment="1" applyFill="1" applyFont="1">
      <alignment horizontal="left" shrinkToFit="0" vertical="bottom" wrapText="0"/>
    </xf>
    <xf borderId="0" fillId="6" fontId="5" numFmtId="0" xfId="0" applyAlignment="1" applyFont="1">
      <alignment shrinkToFit="0" vertical="bottom" wrapText="1"/>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1"/>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1"/>
    </xf>
    <xf borderId="0" fillId="7" fontId="5" numFmtId="0" xfId="0" applyAlignment="1" applyFont="1">
      <alignment shrinkToFit="0" vertical="bottom" wrapText="1"/>
    </xf>
    <xf borderId="0" fillId="4" fontId="10" numFmtId="0" xfId="0" applyAlignment="1" applyFont="1">
      <alignment horizontal="center" shrinkToFit="0" vertical="bottom" wrapText="0"/>
    </xf>
    <xf borderId="0" fillId="3" fontId="5" numFmtId="0" xfId="0" applyAlignment="1" applyFont="1">
      <alignment horizontal="left" shrinkToFit="0" vertical="bottom" wrapText="1"/>
    </xf>
    <xf borderId="0" fillId="3" fontId="5"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horizontal="right" shrinkToFit="0" vertical="bottom" wrapText="0"/>
    </xf>
    <xf borderId="0" fillId="3" fontId="5" numFmtId="0" xfId="0" applyAlignment="1" applyFont="1">
      <alignment readingOrder="0" shrinkToFit="0" vertical="bottom" wrapText="1"/>
    </xf>
    <xf borderId="0" fillId="4" fontId="5" numFmtId="0" xfId="0" applyAlignment="1" applyFont="1">
      <alignment horizontal="left" readingOrder="0" shrinkToFit="0" vertical="bottom" wrapText="1"/>
    </xf>
    <xf borderId="0" fillId="3" fontId="5" numFmtId="0" xfId="0" applyAlignment="1" applyFont="1">
      <alignment horizontal="left" readingOrder="0" shrinkToFit="0" vertical="bottom" wrapText="1"/>
    </xf>
    <xf borderId="0" fillId="3" fontId="5" numFmtId="0" xfId="0" applyAlignment="1" applyFont="1">
      <alignment shrinkToFit="0" vertical="bottom"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1"/>
    </xf>
    <xf borderId="0" fillId="8" fontId="5" numFmtId="0" xfId="0" applyAlignment="1" applyFont="1">
      <alignment shrinkToFit="0" vertical="bottom" wrapText="1"/>
    </xf>
    <xf borderId="0" fillId="3" fontId="6"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4" fontId="5" numFmtId="0" xfId="0" applyAlignment="1" applyFont="1">
      <alignment readingOrder="0" shrinkToFit="0" vertical="bottom" wrapText="0"/>
    </xf>
    <xf borderId="0" fillId="4" fontId="5" numFmtId="0" xfId="0" applyAlignment="1" applyFont="1">
      <alignment horizontal="right" shrinkToFit="0" vertical="bottom" wrapText="0"/>
    </xf>
    <xf borderId="0" fillId="4" fontId="5" numFmtId="0" xfId="0" applyAlignment="1" applyFont="1">
      <alignment shrinkToFit="0" vertical="bottom" wrapText="0"/>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4" fontId="6" numFmtId="0" xfId="0" applyAlignment="1" applyFont="1">
      <alignment readingOrder="0" shrinkToFit="0" vertical="bottom" wrapText="1"/>
    </xf>
    <xf borderId="0" fillId="5" fontId="1" numFmtId="0" xfId="0" applyAlignment="1" applyFont="1">
      <alignment readingOrder="0" shrinkToFit="0" wrapText="0"/>
    </xf>
    <xf borderId="0" fillId="7" fontId="6" numFmtId="0" xfId="0" applyAlignment="1" applyFont="1">
      <alignment shrinkToFit="0" vertical="bottom" wrapText="0"/>
    </xf>
    <xf borderId="0" fillId="8"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1"/>
    </xf>
    <xf borderId="0" fillId="4" fontId="5" numFmtId="0" xfId="0" applyAlignment="1" applyFont="1">
      <alignment shrinkToFit="0" vertical="bottom" wrapText="1"/>
    </xf>
    <xf borderId="0" fillId="4" fontId="5" numFmtId="0" xfId="0" applyAlignment="1" applyFont="1">
      <alignment horizontal="right" shrinkToFit="0" vertical="bottom" wrapText="0"/>
    </xf>
    <xf borderId="0" fillId="3" fontId="2" numFmtId="0" xfId="0" applyAlignment="1" applyFont="1">
      <alignment readingOrder="0" shrinkToFit="0" wrapText="1"/>
    </xf>
    <xf borderId="0" fillId="4" fontId="6" numFmtId="0" xfId="0" applyAlignment="1" applyFont="1">
      <alignment horizontal="left" shrinkToFit="0" vertical="bottom" wrapText="1"/>
    </xf>
    <xf borderId="0" fillId="3" fontId="6" numFmtId="0" xfId="0" applyAlignment="1" applyFont="1">
      <alignment horizontal="left" shrinkToFit="0" vertical="bottom" wrapText="1"/>
    </xf>
    <xf borderId="0" fillId="3" fontId="2" numFmtId="0" xfId="0" applyAlignment="1" applyFont="1">
      <alignment readingOrder="0" shrinkToFit="0" wrapText="0"/>
    </xf>
    <xf borderId="0" fillId="3" fontId="2" numFmtId="0" xfId="0" applyAlignment="1" applyFont="1">
      <alignment readingOrder="0" shrinkToFit="0" wrapText="0"/>
    </xf>
    <xf borderId="0" fillId="4" fontId="6" numFmtId="0" xfId="0" applyAlignment="1" applyFont="1">
      <alignment horizontal="left" readingOrder="0" shrinkToFit="0" vertical="bottom" wrapText="1"/>
    </xf>
    <xf borderId="0" fillId="5" fontId="5"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readingOrder="0"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3" fontId="6" numFmtId="0" xfId="0" applyAlignment="1" applyFont="1">
      <alignment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93649703"/>
        <c:axId val="216760672"/>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193649703"/>
        <c:axId val="216760672"/>
      </c:lineChart>
      <c:catAx>
        <c:axId val="1936497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16760672"/>
      </c:catAx>
      <c:valAx>
        <c:axId val="216760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364970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2630304"/>
        <c:axId val="372715348"/>
      </c:lineChart>
      <c:catAx>
        <c:axId val="1263030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372715348"/>
      </c:catAx>
      <c:valAx>
        <c:axId val="372715348"/>
        <c:scaling>
          <c:orientation val="minMax"/>
        </c:scaling>
        <c:delete val="0"/>
        <c:axPos val="l"/>
        <c:tickLblPos val="nextTo"/>
        <c:spPr>
          <a:ln>
            <a:noFill/>
          </a:ln>
        </c:spPr>
        <c:crossAx val="12630304"/>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solidFill>
                <a:srgbClr val="000000"/>
              </a:solid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984503656"/>
        <c:axId val="1574386930"/>
      </c:barChart>
      <c:catAx>
        <c:axId val="98450365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574386930"/>
      </c:catAx>
      <c:valAx>
        <c:axId val="15743869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84503656"/>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242065325"/>
        <c:axId val="301067323"/>
      </c:lineChart>
      <c:catAx>
        <c:axId val="124206532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301067323"/>
      </c:catAx>
      <c:valAx>
        <c:axId val="301067323"/>
        <c:scaling>
          <c:orientation val="minMax"/>
        </c:scaling>
        <c:delete val="0"/>
        <c:axPos val="l"/>
        <c:tickLblPos val="nextTo"/>
        <c:spPr>
          <a:ln>
            <a:noFill/>
          </a:ln>
        </c:spPr>
        <c:crossAx val="1242065325"/>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solidFill>
                <a:srgbClr val="000000"/>
              </a:solidFill>
            </a:ln>
          </c:spPr>
          <c:dPt>
            <c:idx val="2"/>
          </c:dPt>
          <c:cat>
            <c:strRef>
              <c:f>'Final Project Release plan'!$A$9:$A$15</c:f>
            </c:strRef>
          </c:cat>
          <c:val>
            <c:numRef>
              <c:f>'Final Project Release plan'!$E$9:$E$15</c:f>
              <c:numCache/>
            </c:numRef>
          </c:val>
        </c:ser>
        <c:ser>
          <c:idx val="1"/>
          <c:order val="1"/>
          <c:tx>
            <c:v>Real Remaining Size</c:v>
          </c:tx>
          <c:spPr>
            <a:solidFill>
              <a:srgbClr val="DB4437"/>
            </a:solidFill>
            <a:ln cmpd="sng">
              <a:solidFill>
                <a:srgbClr val="000000"/>
              </a:solidFill>
            </a:ln>
          </c:spPr>
          <c:cat>
            <c:strRef>
              <c:f>'Final Project Release plan'!$A$9:$A$15</c:f>
            </c:strRef>
          </c:cat>
          <c:val>
            <c:numRef>
              <c:f>'Final Project Release plan'!$E$9:$E$15</c:f>
              <c:numCache/>
            </c:numRef>
          </c:val>
        </c:ser>
        <c:ser>
          <c:idx val="2"/>
          <c:order val="2"/>
          <c:cat>
            <c:strRef>
              <c:f>'Final Project Release plan'!$A$9:$A$15</c:f>
            </c:strRef>
          </c:cat>
          <c:val>
            <c:numRef>
              <c:f>'Final Project Release plan'!$G$9:$G$15</c:f>
              <c:numCache/>
            </c:numRef>
          </c:val>
        </c:ser>
        <c:ser>
          <c:idx val="3"/>
          <c:order val="3"/>
          <c:cat>
            <c:strRef>
              <c:f>'Final Project Release plan'!$A$9:$A$15</c:f>
            </c:strRef>
          </c:cat>
          <c:val>
            <c:numRef>
              <c:f>'Final Project Release plan'!$G$9:$G$15</c:f>
              <c:numCache/>
            </c:numRef>
          </c:val>
        </c:ser>
        <c:axId val="127120567"/>
        <c:axId val="1875114283"/>
      </c:barChart>
      <c:catAx>
        <c:axId val="12712056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875114283"/>
      </c:catAx>
      <c:valAx>
        <c:axId val="18751142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7120567"/>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13049250" cy="78390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782550" cy="7915275"/>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801600" cy="79248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4"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10" t="s">
        <v>50</v>
      </c>
      <c r="B8" s="10" t="s">
        <v>51</v>
      </c>
      <c r="C8" s="10" t="s">
        <v>52</v>
      </c>
      <c r="D8" s="10" t="s">
        <v>53</v>
      </c>
    </row>
    <row r="9">
      <c r="A9" s="9" t="s">
        <v>54</v>
      </c>
      <c r="B9" s="9" t="s">
        <v>55</v>
      </c>
      <c r="C9" s="9" t="s">
        <v>56</v>
      </c>
      <c r="D9" s="9" t="s">
        <v>57</v>
      </c>
    </row>
    <row r="10">
      <c r="A10" s="9" t="s">
        <v>58</v>
      </c>
      <c r="B10" s="9" t="s">
        <v>59</v>
      </c>
      <c r="C10" s="9" t="s">
        <v>60</v>
      </c>
      <c r="D10" s="9" t="s">
        <v>61</v>
      </c>
    </row>
    <row r="11">
      <c r="A11" s="9" t="s">
        <v>62</v>
      </c>
      <c r="B11" s="9" t="s">
        <v>63</v>
      </c>
      <c r="C11" s="9" t="s">
        <v>64</v>
      </c>
      <c r="D11" s="9" t="s">
        <v>65</v>
      </c>
    </row>
    <row r="12">
      <c r="A12" s="8"/>
      <c r="B12" s="11"/>
      <c r="C12" s="11"/>
      <c r="D12" s="11"/>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t="s">
        <v>66</v>
      </c>
      <c r="B1" s="13"/>
      <c r="C1" s="13" t="s">
        <v>67</v>
      </c>
      <c r="E1" s="13"/>
      <c r="F1" s="14"/>
      <c r="G1" s="14"/>
      <c r="H1" s="13"/>
    </row>
    <row r="2">
      <c r="A2" s="15" t="s">
        <v>68</v>
      </c>
      <c r="B2" s="15" t="s">
        <v>69</v>
      </c>
      <c r="C2" s="15" t="s">
        <v>70</v>
      </c>
      <c r="D2" s="15" t="s">
        <v>71</v>
      </c>
      <c r="E2" s="15" t="s">
        <v>72</v>
      </c>
      <c r="F2" s="16" t="s">
        <v>73</v>
      </c>
      <c r="G2" s="16" t="s">
        <v>74</v>
      </c>
      <c r="H2" s="15" t="s">
        <v>75</v>
      </c>
    </row>
    <row r="3">
      <c r="A3" s="17">
        <v>1.0</v>
      </c>
      <c r="B3" s="18">
        <v>46127.0</v>
      </c>
      <c r="C3" s="9"/>
      <c r="D3" s="9" t="s">
        <v>47</v>
      </c>
      <c r="E3" s="9" t="s">
        <v>76</v>
      </c>
      <c r="F3" s="9" t="s">
        <v>77</v>
      </c>
      <c r="G3" s="9" t="s">
        <v>78</v>
      </c>
      <c r="H3" s="19"/>
    </row>
    <row r="4">
      <c r="A4" s="17">
        <v>2.0</v>
      </c>
      <c r="B4" s="20">
        <f t="shared" ref="B4:B17" si="1">B3+7</f>
        <v>46134</v>
      </c>
      <c r="C4" s="9" t="s">
        <v>47</v>
      </c>
      <c r="D4" s="9" t="s">
        <v>43</v>
      </c>
      <c r="E4" s="9" t="s">
        <v>76</v>
      </c>
      <c r="F4" s="9" t="s">
        <v>79</v>
      </c>
      <c r="G4" s="9" t="s">
        <v>78</v>
      </c>
      <c r="H4" s="19"/>
    </row>
    <row r="5">
      <c r="A5" s="17">
        <v>3.0</v>
      </c>
      <c r="B5" s="20">
        <f t="shared" si="1"/>
        <v>46141</v>
      </c>
      <c r="C5" s="9" t="s">
        <v>43</v>
      </c>
      <c r="D5" s="9" t="s">
        <v>47</v>
      </c>
      <c r="E5" s="9" t="s">
        <v>76</v>
      </c>
      <c r="F5" s="9" t="s">
        <v>79</v>
      </c>
      <c r="G5" s="9" t="s">
        <v>78</v>
      </c>
      <c r="H5" s="19"/>
    </row>
    <row r="6">
      <c r="A6" s="17">
        <v>4.0</v>
      </c>
      <c r="B6" s="20">
        <f t="shared" si="1"/>
        <v>46148</v>
      </c>
      <c r="C6" s="9" t="s">
        <v>47</v>
      </c>
      <c r="D6" s="9" t="s">
        <v>43</v>
      </c>
      <c r="E6" s="9" t="s">
        <v>76</v>
      </c>
      <c r="F6" s="9" t="s">
        <v>80</v>
      </c>
      <c r="G6" s="9" t="s">
        <v>78</v>
      </c>
      <c r="H6" s="19"/>
    </row>
    <row r="7">
      <c r="A7" s="17">
        <v>5.0</v>
      </c>
      <c r="B7" s="20">
        <f t="shared" si="1"/>
        <v>46155</v>
      </c>
      <c r="C7" s="9" t="s">
        <v>43</v>
      </c>
      <c r="D7" s="9" t="s">
        <v>47</v>
      </c>
      <c r="E7" s="9" t="s">
        <v>76</v>
      </c>
      <c r="F7" s="9" t="s">
        <v>81</v>
      </c>
      <c r="G7" s="9" t="s">
        <v>78</v>
      </c>
      <c r="H7" s="19"/>
    </row>
    <row r="8">
      <c r="A8" s="17">
        <v>6.0</v>
      </c>
      <c r="B8" s="20">
        <f t="shared" si="1"/>
        <v>46162</v>
      </c>
      <c r="C8" s="9" t="s">
        <v>47</v>
      </c>
      <c r="D8" s="9" t="s">
        <v>43</v>
      </c>
      <c r="E8" s="9" t="s">
        <v>5</v>
      </c>
      <c r="F8" s="9" t="s">
        <v>82</v>
      </c>
      <c r="G8" s="9" t="s">
        <v>78</v>
      </c>
      <c r="H8" s="19"/>
    </row>
    <row r="9">
      <c r="A9" s="17">
        <v>7.0</v>
      </c>
      <c r="B9" s="20">
        <f t="shared" si="1"/>
        <v>46169</v>
      </c>
      <c r="C9" s="9" t="s">
        <v>43</v>
      </c>
      <c r="D9" s="9" t="s">
        <v>47</v>
      </c>
      <c r="E9" s="12"/>
      <c r="F9" s="9" t="s">
        <v>83</v>
      </c>
      <c r="G9" s="9" t="s">
        <v>78</v>
      </c>
      <c r="H9" s="19"/>
    </row>
    <row r="10">
      <c r="A10" s="17">
        <v>8.0</v>
      </c>
      <c r="B10" s="20">
        <f t="shared" si="1"/>
        <v>46176</v>
      </c>
      <c r="C10" s="9" t="s">
        <v>47</v>
      </c>
      <c r="D10" s="9" t="s">
        <v>43</v>
      </c>
      <c r="E10" s="12"/>
      <c r="F10" s="9" t="s">
        <v>84</v>
      </c>
      <c r="G10" s="9" t="s">
        <v>78</v>
      </c>
    </row>
    <row r="11">
      <c r="A11" s="17">
        <v>9.0</v>
      </c>
      <c r="B11" s="20">
        <f t="shared" si="1"/>
        <v>46183</v>
      </c>
      <c r="C11" s="9" t="s">
        <v>43</v>
      </c>
      <c r="D11" s="9" t="s">
        <v>47</v>
      </c>
      <c r="E11" s="12"/>
      <c r="F11" s="9" t="s">
        <v>85</v>
      </c>
      <c r="G11" s="9" t="s">
        <v>78</v>
      </c>
      <c r="H11" s="19"/>
    </row>
    <row r="12">
      <c r="A12" s="17">
        <v>10.0</v>
      </c>
      <c r="B12" s="21">
        <f t="shared" si="1"/>
        <v>46190</v>
      </c>
      <c r="C12" s="9" t="s">
        <v>47</v>
      </c>
      <c r="D12" s="9" t="s">
        <v>43</v>
      </c>
      <c r="E12" s="12"/>
      <c r="F12" s="9" t="s">
        <v>83</v>
      </c>
      <c r="G12" s="9" t="s">
        <v>78</v>
      </c>
      <c r="H12" s="19"/>
    </row>
    <row r="13">
      <c r="A13" s="17">
        <v>11.0</v>
      </c>
      <c r="B13" s="22">
        <f t="shared" si="1"/>
        <v>46197</v>
      </c>
      <c r="C13" s="9" t="s">
        <v>43</v>
      </c>
      <c r="D13" s="9" t="s">
        <v>47</v>
      </c>
      <c r="E13" s="12"/>
      <c r="F13" s="9" t="s">
        <v>80</v>
      </c>
      <c r="G13" s="9" t="s">
        <v>78</v>
      </c>
      <c r="H13" s="19"/>
    </row>
    <row r="14">
      <c r="A14" s="17">
        <v>12.0</v>
      </c>
      <c r="B14" s="21">
        <f t="shared" si="1"/>
        <v>46204</v>
      </c>
      <c r="C14" s="9" t="s">
        <v>47</v>
      </c>
      <c r="D14" s="9" t="s">
        <v>43</v>
      </c>
      <c r="E14" s="12"/>
      <c r="F14" s="9" t="s">
        <v>81</v>
      </c>
      <c r="G14" s="9" t="s">
        <v>78</v>
      </c>
      <c r="H14" s="19"/>
    </row>
    <row r="15">
      <c r="A15" s="17">
        <v>13.0</v>
      </c>
      <c r="B15" s="22">
        <f t="shared" si="1"/>
        <v>46211</v>
      </c>
      <c r="C15" s="9" t="s">
        <v>43</v>
      </c>
      <c r="D15" s="9" t="s">
        <v>47</v>
      </c>
      <c r="E15" s="12"/>
      <c r="F15" s="9" t="s">
        <v>82</v>
      </c>
      <c r="G15" s="9" t="s">
        <v>78</v>
      </c>
      <c r="H15" s="19"/>
    </row>
    <row r="16">
      <c r="A16" s="17">
        <v>14.0</v>
      </c>
      <c r="B16" s="21">
        <f t="shared" si="1"/>
        <v>46218</v>
      </c>
      <c r="C16" s="9" t="s">
        <v>47</v>
      </c>
      <c r="D16" s="9" t="s">
        <v>86</v>
      </c>
      <c r="E16" s="12"/>
      <c r="F16" s="9" t="s">
        <v>85</v>
      </c>
      <c r="G16" s="9" t="s">
        <v>78</v>
      </c>
      <c r="H16" s="23" t="s">
        <v>87</v>
      </c>
    </row>
    <row r="17">
      <c r="A17" s="17">
        <v>15.0</v>
      </c>
      <c r="B17" s="22">
        <f t="shared" si="1"/>
        <v>46225</v>
      </c>
      <c r="C17" s="9"/>
      <c r="D17" s="9" t="s">
        <v>86</v>
      </c>
      <c r="E17" s="12"/>
      <c r="F17" s="12"/>
      <c r="G17" s="9" t="s">
        <v>78</v>
      </c>
      <c r="H17" s="23" t="s">
        <v>88</v>
      </c>
    </row>
    <row r="18">
      <c r="A18" s="17"/>
      <c r="B18" s="24"/>
      <c r="C18" s="12"/>
      <c r="D18" s="12"/>
      <c r="E18" s="12"/>
      <c r="F18" s="12"/>
      <c r="G18" s="12"/>
      <c r="H18" s="25"/>
    </row>
    <row r="19">
      <c r="A19" s="23" t="s">
        <v>89</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90</v>
      </c>
      <c r="B1" s="29" t="s">
        <v>91</v>
      </c>
    </row>
    <row r="2">
      <c r="A2" s="30"/>
      <c r="B2" s="31"/>
    </row>
    <row r="3">
      <c r="A3" s="30"/>
      <c r="B3" s="32" t="s">
        <v>92</v>
      </c>
    </row>
    <row r="4">
      <c r="A4" s="30"/>
      <c r="B4" s="32" t="s">
        <v>93</v>
      </c>
    </row>
    <row r="5">
      <c r="A5" s="33"/>
      <c r="B5" s="34"/>
    </row>
    <row r="6">
      <c r="A6" s="33" t="s">
        <v>94</v>
      </c>
      <c r="B6" s="29" t="s">
        <v>95</v>
      </c>
    </row>
    <row r="7">
      <c r="A7" s="30"/>
      <c r="B7" s="32" t="s">
        <v>96</v>
      </c>
    </row>
    <row r="8">
      <c r="A8" s="30"/>
      <c r="B8" s="32" t="s">
        <v>97</v>
      </c>
    </row>
    <row r="9">
      <c r="A9" s="30"/>
      <c r="B9" s="32" t="s">
        <v>98</v>
      </c>
    </row>
    <row r="10">
      <c r="A10" s="33"/>
      <c r="B10" s="10" t="s">
        <v>99</v>
      </c>
    </row>
    <row r="11">
      <c r="A11" s="33"/>
      <c r="B11" s="29" t="s">
        <v>100</v>
      </c>
    </row>
    <row r="12">
      <c r="A12" s="33"/>
      <c r="B12" s="29" t="s">
        <v>101</v>
      </c>
    </row>
    <row r="13">
      <c r="A13" s="33" t="s">
        <v>102</v>
      </c>
      <c r="B13" s="34"/>
    </row>
    <row r="14">
      <c r="A14" s="30"/>
      <c r="B14" s="32" t="s">
        <v>103</v>
      </c>
    </row>
    <row r="15">
      <c r="A15" s="30"/>
      <c r="B15" s="32" t="s">
        <v>104</v>
      </c>
    </row>
    <row r="16">
      <c r="A16" s="33"/>
      <c r="B16" s="29" t="s">
        <v>105</v>
      </c>
    </row>
    <row r="17">
      <c r="A17" s="33"/>
      <c r="B17" s="29" t="s">
        <v>106</v>
      </c>
    </row>
    <row r="18">
      <c r="A18" s="33"/>
      <c r="B18" s="29" t="s">
        <v>107</v>
      </c>
    </row>
    <row r="19">
      <c r="B19" s="10" t="s">
        <v>108</v>
      </c>
    </row>
    <row r="20">
      <c r="A20" s="33"/>
      <c r="B20" s="29" t="s">
        <v>109</v>
      </c>
    </row>
    <row r="21">
      <c r="A21" s="33"/>
      <c r="B21" s="29" t="s">
        <v>110</v>
      </c>
    </row>
    <row r="22">
      <c r="A22" s="33"/>
      <c r="B22" s="35" t="s">
        <v>111</v>
      </c>
    </row>
    <row r="23">
      <c r="A23" s="33"/>
      <c r="B23" s="29" t="s">
        <v>112</v>
      </c>
    </row>
    <row r="24">
      <c r="A24" s="33" t="s">
        <v>113</v>
      </c>
      <c r="B24" s="29"/>
    </row>
    <row r="25">
      <c r="A25" s="30"/>
      <c r="B25" s="29" t="s">
        <v>114</v>
      </c>
    </row>
    <row r="26">
      <c r="A26" s="33"/>
      <c r="B26" s="32" t="s">
        <v>115</v>
      </c>
    </row>
    <row r="27">
      <c r="A27" s="33"/>
      <c r="B27" s="32" t="s">
        <v>116</v>
      </c>
    </row>
    <row r="28">
      <c r="A28" s="33" t="s">
        <v>117</v>
      </c>
      <c r="B28" s="32"/>
    </row>
    <row r="29">
      <c r="A29" s="30"/>
      <c r="B29" s="32"/>
    </row>
    <row r="30">
      <c r="A30" s="30"/>
      <c r="B30" s="34"/>
    </row>
    <row r="31">
      <c r="A31" s="30"/>
      <c r="B31" s="32" t="s">
        <v>118</v>
      </c>
    </row>
    <row r="32">
      <c r="A32" s="30"/>
      <c r="B32" s="32" t="s">
        <v>119</v>
      </c>
    </row>
    <row r="33">
      <c r="A33" s="33"/>
      <c r="B33" s="32" t="s">
        <v>120</v>
      </c>
    </row>
    <row r="34">
      <c r="A34" s="33"/>
      <c r="B34" s="32" t="s">
        <v>121</v>
      </c>
    </row>
    <row r="35">
      <c r="A35" s="33"/>
      <c r="B35" s="29" t="s">
        <v>122</v>
      </c>
    </row>
    <row r="36">
      <c r="A36" s="33"/>
      <c r="B36" s="29" t="s">
        <v>123</v>
      </c>
    </row>
    <row r="37">
      <c r="A37" s="33" t="s">
        <v>124</v>
      </c>
      <c r="B37" s="29"/>
    </row>
    <row r="38">
      <c r="A38" s="31"/>
      <c r="B38" s="29" t="s">
        <v>125</v>
      </c>
    </row>
    <row r="39">
      <c r="A39" s="31"/>
      <c r="B39" s="29" t="s">
        <v>126</v>
      </c>
    </row>
    <row r="40">
      <c r="A40" s="33"/>
      <c r="B40" s="32"/>
    </row>
    <row r="41">
      <c r="A41" s="33" t="s">
        <v>127</v>
      </c>
      <c r="B41" s="32" t="s">
        <v>128</v>
      </c>
    </row>
    <row r="42">
      <c r="A42" s="31"/>
      <c r="B42" s="32"/>
    </row>
    <row r="43">
      <c r="A43" s="36"/>
      <c r="B43" s="29" t="s">
        <v>129</v>
      </c>
    </row>
    <row r="44">
      <c r="A44" s="36" t="s">
        <v>130</v>
      </c>
      <c r="B44" s="31"/>
    </row>
    <row r="45">
      <c r="A45" s="36"/>
      <c r="B45" s="29"/>
    </row>
    <row r="46">
      <c r="A46" s="31"/>
      <c r="B46" s="29" t="s">
        <v>131</v>
      </c>
    </row>
    <row r="47">
      <c r="A47" s="36" t="s">
        <v>132</v>
      </c>
      <c r="B47" s="34"/>
    </row>
    <row r="48">
      <c r="A48" s="31"/>
      <c r="B48" s="32" t="s">
        <v>133</v>
      </c>
    </row>
    <row r="49">
      <c r="A49" s="33" t="s">
        <v>134</v>
      </c>
      <c r="B49" s="34"/>
    </row>
    <row r="50">
      <c r="B50" s="31"/>
    </row>
    <row r="51">
      <c r="A51" s="37" t="s">
        <v>74</v>
      </c>
      <c r="B51" s="10" t="s">
        <v>135</v>
      </c>
    </row>
    <row r="52">
      <c r="A52" s="37" t="s">
        <v>136</v>
      </c>
      <c r="B52" s="10" t="s">
        <v>137</v>
      </c>
    </row>
    <row r="53">
      <c r="A53" s="37" t="s">
        <v>136</v>
      </c>
      <c r="B53" s="10" t="s">
        <v>138</v>
      </c>
    </row>
    <row r="54">
      <c r="A54" s="37" t="s">
        <v>139</v>
      </c>
      <c r="B54" s="10" t="s">
        <v>80</v>
      </c>
    </row>
    <row r="55">
      <c r="A55" s="37" t="s">
        <v>139</v>
      </c>
      <c r="B55" s="10" t="s">
        <v>81</v>
      </c>
    </row>
    <row r="56">
      <c r="A56" s="37" t="s">
        <v>139</v>
      </c>
      <c r="B56" s="10" t="s">
        <v>83</v>
      </c>
    </row>
    <row r="57">
      <c r="A57" s="37" t="s">
        <v>139</v>
      </c>
      <c r="B57" s="10" t="s">
        <v>140</v>
      </c>
    </row>
    <row r="58">
      <c r="A58" s="37" t="s">
        <v>139</v>
      </c>
      <c r="B58" s="10" t="s">
        <v>85</v>
      </c>
    </row>
    <row r="59">
      <c r="A59" s="37" t="s">
        <v>139</v>
      </c>
      <c r="B59" s="10" t="s">
        <v>79</v>
      </c>
    </row>
    <row r="60">
      <c r="A60" s="10" t="s">
        <v>139</v>
      </c>
      <c r="B60" s="10" t="s">
        <v>84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141</v>
      </c>
      <c r="B1" s="38" t="s">
        <v>142</v>
      </c>
    </row>
    <row r="2">
      <c r="A2" s="39"/>
      <c r="B2" s="40"/>
    </row>
    <row r="3">
      <c r="A3" s="41" t="s">
        <v>143</v>
      </c>
      <c r="B3" s="41" t="s">
        <v>144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145</v>
      </c>
      <c r="B1" s="42" t="s">
        <v>146</v>
      </c>
    </row>
    <row r="2">
      <c r="A2" s="43" t="s">
        <v>147</v>
      </c>
      <c r="B2" s="44" t="s">
        <v>148</v>
      </c>
    </row>
    <row r="3">
      <c r="A3" s="43" t="s">
        <v>149</v>
      </c>
      <c r="B3" s="44" t="s">
        <v>150</v>
      </c>
    </row>
    <row r="4">
      <c r="A4" s="43" t="s">
        <v>151</v>
      </c>
      <c r="B4" s="44" t="s">
        <v>152</v>
      </c>
    </row>
    <row r="5">
      <c r="A5" s="43" t="s">
        <v>153</v>
      </c>
      <c r="B5" s="44" t="s">
        <v>154</v>
      </c>
    </row>
    <row r="6">
      <c r="A6" s="43" t="s">
        <v>155</v>
      </c>
      <c r="B6" s="44" t="s">
        <v>156</v>
      </c>
    </row>
    <row r="7">
      <c r="A7" s="43" t="s">
        <v>157</v>
      </c>
      <c r="B7" s="44" t="s">
        <v>158</v>
      </c>
    </row>
    <row r="8">
      <c r="A8" s="43" t="s">
        <v>159</v>
      </c>
      <c r="B8" s="44" t="s">
        <v>160</v>
      </c>
    </row>
    <row r="9">
      <c r="A9" s="43" t="s">
        <v>161</v>
      </c>
      <c r="B9" s="44" t="s">
        <v>162</v>
      </c>
    </row>
    <row r="10">
      <c r="A10" s="43" t="s">
        <v>163</v>
      </c>
      <c r="B10" s="44" t="s">
        <v>164</v>
      </c>
    </row>
    <row r="11">
      <c r="A11" s="43" t="s">
        <v>165</v>
      </c>
      <c r="B11" s="44" t="s">
        <v>166</v>
      </c>
    </row>
    <row r="12">
      <c r="A12" s="43" t="s">
        <v>167</v>
      </c>
      <c r="B12" s="44" t="s">
        <v>168</v>
      </c>
    </row>
    <row r="13">
      <c r="A13" s="43" t="s">
        <v>169</v>
      </c>
      <c r="B13" s="44" t="s">
        <v>170</v>
      </c>
    </row>
    <row r="14">
      <c r="A14" s="43" t="s">
        <v>171</v>
      </c>
      <c r="B14" s="44" t="s">
        <v>172</v>
      </c>
    </row>
    <row r="15">
      <c r="A15" s="43" t="s">
        <v>173</v>
      </c>
      <c r="B15" s="44" t="s">
        <v>174</v>
      </c>
    </row>
    <row r="16">
      <c r="A16" s="43" t="s">
        <v>175</v>
      </c>
      <c r="B16" s="44" t="s">
        <v>176</v>
      </c>
    </row>
    <row r="17">
      <c r="A17" s="43" t="s">
        <v>177</v>
      </c>
      <c r="B17" s="44" t="s">
        <v>178</v>
      </c>
    </row>
    <row r="18">
      <c r="A18" s="43" t="s">
        <v>179</v>
      </c>
      <c r="B18" s="44" t="s">
        <v>180</v>
      </c>
    </row>
    <row r="19">
      <c r="A19" s="43" t="s">
        <v>181</v>
      </c>
      <c r="B19" s="44" t="s">
        <v>182</v>
      </c>
    </row>
    <row r="20">
      <c r="A20" s="43" t="s">
        <v>183</v>
      </c>
      <c r="B20" s="44" t="s">
        <v>184</v>
      </c>
    </row>
    <row r="21">
      <c r="A21" s="43" t="s">
        <v>185</v>
      </c>
      <c r="B21" s="44" t="s">
        <v>186</v>
      </c>
    </row>
    <row r="22">
      <c r="A22" s="43" t="s">
        <v>187</v>
      </c>
      <c r="B22" s="44" t="s">
        <v>188</v>
      </c>
    </row>
    <row r="23">
      <c r="A23" s="43" t="s">
        <v>189</v>
      </c>
      <c r="B23" s="44" t="s">
        <v>190</v>
      </c>
    </row>
    <row r="24">
      <c r="A24" s="43" t="s">
        <v>191</v>
      </c>
      <c r="B24" s="44" t="s">
        <v>192</v>
      </c>
    </row>
    <row r="25">
      <c r="A25" s="43" t="s">
        <v>193</v>
      </c>
      <c r="B25" s="44" t="s">
        <v>194</v>
      </c>
    </row>
    <row r="26">
      <c r="A26" s="43" t="s">
        <v>195</v>
      </c>
      <c r="B26" s="44" t="s">
        <v>196</v>
      </c>
    </row>
    <row r="27">
      <c r="A27" s="43" t="s">
        <v>197</v>
      </c>
      <c r="B27" s="44" t="s">
        <v>198</v>
      </c>
    </row>
    <row r="28">
      <c r="A28" s="43" t="s">
        <v>199</v>
      </c>
      <c r="B28" s="44" t="s">
        <v>200</v>
      </c>
    </row>
    <row r="29">
      <c r="A29" s="43" t="s">
        <v>201</v>
      </c>
      <c r="B29" s="44" t="s">
        <v>202</v>
      </c>
    </row>
    <row r="30">
      <c r="A30" s="43" t="s">
        <v>203</v>
      </c>
      <c r="B30" s="44" t="s">
        <v>204</v>
      </c>
    </row>
    <row r="31">
      <c r="A31" s="43" t="s">
        <v>205</v>
      </c>
      <c r="B31" s="44" t="s">
        <v>206</v>
      </c>
    </row>
    <row r="32">
      <c r="A32" s="43" t="s">
        <v>207</v>
      </c>
      <c r="B32" s="44" t="s">
        <v>208</v>
      </c>
    </row>
    <row r="33">
      <c r="A33" s="43" t="s">
        <v>209</v>
      </c>
      <c r="B33" s="44" t="s">
        <v>210</v>
      </c>
    </row>
    <row r="34">
      <c r="A34" s="43" t="s">
        <v>211</v>
      </c>
      <c r="B34" s="44" t="s">
        <v>212</v>
      </c>
    </row>
    <row r="35">
      <c r="A35" s="43" t="s">
        <v>213</v>
      </c>
      <c r="B35" s="44" t="s">
        <v>214</v>
      </c>
    </row>
    <row r="36">
      <c r="A36" s="43" t="s">
        <v>215</v>
      </c>
      <c r="B36" s="44" t="s">
        <v>216</v>
      </c>
    </row>
    <row r="37">
      <c r="A37" s="43" t="s">
        <v>217</v>
      </c>
      <c r="B37" s="44" t="s">
        <v>218</v>
      </c>
    </row>
    <row r="38">
      <c r="A38" s="43" t="s">
        <v>219</v>
      </c>
      <c r="B38" s="44" t="s">
        <v>220</v>
      </c>
    </row>
    <row r="39">
      <c r="A39" s="43" t="s">
        <v>221</v>
      </c>
      <c r="B39" s="44" t="s">
        <v>222</v>
      </c>
    </row>
    <row r="40">
      <c r="A40" s="43" t="s">
        <v>223</v>
      </c>
      <c r="B40" s="44" t="s">
        <v>224</v>
      </c>
    </row>
    <row r="41">
      <c r="A41" s="43" t="s">
        <v>225</v>
      </c>
      <c r="B41" s="44" t="s">
        <v>226</v>
      </c>
    </row>
    <row r="42">
      <c r="A42" s="43" t="s">
        <v>227</v>
      </c>
      <c r="B42" s="44" t="s">
        <v>228</v>
      </c>
    </row>
    <row r="43">
      <c r="A43" s="43" t="s">
        <v>229</v>
      </c>
      <c r="B43" s="44" t="s">
        <v>230</v>
      </c>
    </row>
    <row r="44">
      <c r="A44" s="43" t="s">
        <v>231</v>
      </c>
      <c r="B44" s="44" t="s">
        <v>232</v>
      </c>
    </row>
    <row r="45">
      <c r="A45" s="43" t="s">
        <v>233</v>
      </c>
      <c r="B45" s="44" t="s">
        <v>234</v>
      </c>
    </row>
    <row r="46">
      <c r="A46" s="43" t="s">
        <v>235</v>
      </c>
      <c r="B46" s="44" t="s">
        <v>236</v>
      </c>
    </row>
    <row r="47">
      <c r="A47" s="43" t="s">
        <v>237</v>
      </c>
      <c r="B47" s="44" t="s">
        <v>238</v>
      </c>
    </row>
    <row r="48">
      <c r="A48" s="43" t="s">
        <v>239</v>
      </c>
      <c r="B48" s="44" t="s">
        <v>240</v>
      </c>
    </row>
    <row r="49">
      <c r="A49" s="43" t="s">
        <v>241</v>
      </c>
      <c r="B49" s="44" t="s">
        <v>242</v>
      </c>
    </row>
    <row r="50">
      <c r="A50" s="43" t="s">
        <v>243</v>
      </c>
      <c r="B50" s="44" t="s">
        <v>244</v>
      </c>
    </row>
    <row r="51">
      <c r="A51" s="43" t="s">
        <v>245</v>
      </c>
      <c r="B51" s="44" t="s">
        <v>246</v>
      </c>
    </row>
    <row r="52">
      <c r="A52" s="43" t="s">
        <v>247</v>
      </c>
      <c r="B52" s="44" t="s">
        <v>248</v>
      </c>
    </row>
    <row r="53">
      <c r="A53" s="43" t="s">
        <v>249</v>
      </c>
      <c r="B53" s="44" t="s">
        <v>250</v>
      </c>
    </row>
    <row r="54">
      <c r="A54" s="43" t="s">
        <v>251</v>
      </c>
      <c r="B54" s="44" t="s">
        <v>252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253</v>
      </c>
      <c r="B1" s="4" t="s">
        <v>254</v>
      </c>
    </row>
    <row r="2">
      <c r="A2" s="46">
        <v>1.0</v>
      </c>
      <c r="B2" s="2" t="s">
        <v>255</v>
      </c>
    </row>
    <row r="3">
      <c r="A3" s="46">
        <f t="shared" ref="A3:A16" si="1">A2+1</f>
        <v>2</v>
      </c>
      <c r="B3" s="2" t="s">
        <v>255</v>
      </c>
    </row>
    <row r="4">
      <c r="A4" s="46">
        <f t="shared" si="1"/>
        <v>3</v>
      </c>
      <c r="B4" s="2" t="s">
        <v>255</v>
      </c>
    </row>
    <row r="5">
      <c r="A5" s="46">
        <f t="shared" si="1"/>
        <v>4</v>
      </c>
      <c r="B5" s="10" t="s">
        <v>256</v>
      </c>
    </row>
    <row r="6">
      <c r="A6" s="46">
        <f t="shared" si="1"/>
        <v>5</v>
      </c>
      <c r="B6" s="2" t="s">
        <v>257</v>
      </c>
    </row>
    <row r="7">
      <c r="A7" s="46">
        <f t="shared" si="1"/>
        <v>6</v>
      </c>
      <c r="B7" s="2" t="s">
        <v>258</v>
      </c>
    </row>
    <row r="8">
      <c r="A8" s="46">
        <f t="shared" si="1"/>
        <v>7</v>
      </c>
      <c r="B8" s="2" t="s">
        <v>259</v>
      </c>
    </row>
    <row r="9">
      <c r="A9" s="46">
        <f t="shared" si="1"/>
        <v>8</v>
      </c>
      <c r="B9" s="2" t="s">
        <v>260</v>
      </c>
    </row>
    <row r="10">
      <c r="A10" s="46">
        <f t="shared" si="1"/>
        <v>9</v>
      </c>
      <c r="B10" s="2" t="s">
        <v>261</v>
      </c>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3"/>
    </row>
    <row r="19">
      <c r="A19" s="47"/>
      <c r="B19" s="3"/>
    </row>
    <row r="20">
      <c r="A20" s="47"/>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5" t="s">
        <v>253</v>
      </c>
      <c r="B1" s="4" t="s">
        <v>262</v>
      </c>
      <c r="C1" s="4" t="s">
        <v>263</v>
      </c>
    </row>
    <row r="2">
      <c r="A2" s="46">
        <v>1.0</v>
      </c>
      <c r="C2" s="10">
        <f>AVERAGE(B2:B16)</f>
        <v>22.5</v>
      </c>
    </row>
    <row r="3">
      <c r="A3" s="46">
        <f t="shared" ref="A3:A14" si="1">A2+1</f>
        <v>2</v>
      </c>
      <c r="B3" s="2">
        <v>23.0</v>
      </c>
      <c r="C3" s="2">
        <f>AVERAGE(B2:B16)</f>
        <v>22.5</v>
      </c>
    </row>
    <row r="4">
      <c r="A4" s="46">
        <f t="shared" si="1"/>
        <v>3</v>
      </c>
      <c r="B4" s="48">
        <v>18.0</v>
      </c>
      <c r="C4" s="48">
        <f>AVERAGE(B2:B16)</f>
        <v>22.5</v>
      </c>
    </row>
    <row r="5">
      <c r="A5" s="46">
        <f t="shared" si="1"/>
        <v>4</v>
      </c>
      <c r="B5" s="2">
        <v>13.0</v>
      </c>
      <c r="C5" s="2">
        <f>AVERAGE(B2:B16)</f>
        <v>22.5</v>
      </c>
    </row>
    <row r="6">
      <c r="A6" s="46">
        <f t="shared" si="1"/>
        <v>5</v>
      </c>
      <c r="B6" s="2">
        <v>37.0</v>
      </c>
      <c r="C6" s="2">
        <f>AVERAGE(B2:B16)</f>
        <v>22.5</v>
      </c>
    </row>
    <row r="7">
      <c r="A7" s="46">
        <f t="shared" si="1"/>
        <v>6</v>
      </c>
      <c r="B7" s="2">
        <v>26.0</v>
      </c>
      <c r="C7" s="3">
        <f>AVERAGE(B2:B16)</f>
        <v>22.5</v>
      </c>
    </row>
    <row r="8">
      <c r="A8" s="46">
        <f t="shared" si="1"/>
        <v>7</v>
      </c>
      <c r="B8" s="2">
        <v>18.0</v>
      </c>
      <c r="C8" s="3">
        <f>AVERAGE(B2:B16)</f>
        <v>22.5</v>
      </c>
    </row>
    <row r="9">
      <c r="A9" s="46">
        <f t="shared" si="1"/>
        <v>8</v>
      </c>
      <c r="B9" s="3"/>
      <c r="C9" s="3">
        <f>AVERAGE(B2:B16)</f>
        <v>22.5</v>
      </c>
    </row>
    <row r="10">
      <c r="A10" s="46">
        <f t="shared" si="1"/>
        <v>9</v>
      </c>
      <c r="B10" s="3"/>
      <c r="C10" s="3">
        <f>AVERAGE(B2:B16)</f>
        <v>22.5</v>
      </c>
    </row>
    <row r="11">
      <c r="A11" s="46">
        <f t="shared" si="1"/>
        <v>10</v>
      </c>
      <c r="B11" s="3"/>
      <c r="C11" s="3">
        <f>AVERAGE(B2:B16)</f>
        <v>22.5</v>
      </c>
    </row>
    <row r="12">
      <c r="A12" s="46">
        <f t="shared" si="1"/>
        <v>11</v>
      </c>
      <c r="B12" s="3"/>
      <c r="C12" s="3">
        <f>AVERAGE(B2:B16)</f>
        <v>22.5</v>
      </c>
    </row>
    <row r="13">
      <c r="A13" s="46">
        <f t="shared" si="1"/>
        <v>12</v>
      </c>
      <c r="B13" s="3"/>
      <c r="C13" s="3">
        <f>AVERAGE(B2:B16)</f>
        <v>22.5</v>
      </c>
    </row>
    <row r="14">
      <c r="A14" s="46">
        <f t="shared" si="1"/>
        <v>13</v>
      </c>
      <c r="B14" s="3"/>
      <c r="C14" s="3">
        <f>AVERAGE(B2:B16)</f>
        <v>22.5</v>
      </c>
    </row>
    <row r="15">
      <c r="A15" s="46"/>
      <c r="B15" s="3"/>
      <c r="C15" s="3"/>
    </row>
    <row r="16">
      <c r="A16" s="46"/>
      <c r="B16" s="3"/>
      <c r="C16" s="3"/>
    </row>
    <row r="17">
      <c r="A17" s="46"/>
      <c r="B17" s="3"/>
      <c r="C17" s="3"/>
    </row>
    <row r="18">
      <c r="A18" s="46"/>
      <c r="B18" s="49" t="s">
        <v>264</v>
      </c>
      <c r="C18" s="49"/>
    </row>
    <row r="19">
      <c r="A19" s="47"/>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0" t="s">
        <v>265</v>
      </c>
      <c r="B1" s="51" t="s">
        <v>266</v>
      </c>
      <c r="C1" s="52" t="s">
        <v>267</v>
      </c>
      <c r="D1" s="53" t="s">
        <v>268</v>
      </c>
      <c r="E1" s="53" t="s">
        <v>269</v>
      </c>
      <c r="F1" s="53" t="s">
        <v>270</v>
      </c>
      <c r="G1" s="53" t="s">
        <v>271</v>
      </c>
    </row>
    <row r="2">
      <c r="A2" s="54"/>
      <c r="B2" s="55"/>
      <c r="C2" s="34"/>
      <c r="D2" s="34"/>
      <c r="E2" s="34"/>
      <c r="F2" s="34"/>
      <c r="G2" s="34"/>
    </row>
    <row r="3">
      <c r="A3" s="56" t="s">
        <v>272</v>
      </c>
      <c r="B3" s="57"/>
      <c r="C3" s="58"/>
      <c r="D3" s="58"/>
      <c r="E3" s="58"/>
      <c r="F3" s="58"/>
      <c r="G3" s="58"/>
    </row>
    <row r="4">
      <c r="A4" s="54"/>
      <c r="B4" s="55"/>
      <c r="C4" s="34"/>
      <c r="D4" s="34"/>
      <c r="E4" s="34"/>
      <c r="F4" s="34"/>
      <c r="G4" s="34"/>
    </row>
    <row r="5">
      <c r="A5" s="59" t="s">
        <v>273</v>
      </c>
      <c r="B5" s="60"/>
      <c r="C5" s="31"/>
      <c r="D5" s="61">
        <f>sum(D8:D15)</f>
        <v>121</v>
      </c>
      <c r="E5" s="61">
        <f>D5</f>
        <v>121</v>
      </c>
      <c r="F5" s="31"/>
      <c r="G5" s="31"/>
    </row>
    <row r="6">
      <c r="A6" s="54"/>
      <c r="B6" s="55"/>
      <c r="C6" s="34"/>
      <c r="D6" s="34"/>
      <c r="E6" s="34"/>
      <c r="F6" s="34"/>
      <c r="G6" s="34"/>
    </row>
    <row r="7">
      <c r="A7" s="62" t="s">
        <v>274</v>
      </c>
      <c r="B7" s="63"/>
      <c r="C7" s="64"/>
      <c r="D7" s="64"/>
      <c r="E7" s="64"/>
      <c r="F7" s="64"/>
      <c r="G7" s="64"/>
    </row>
    <row r="8">
      <c r="A8" s="54"/>
      <c r="B8" s="55"/>
      <c r="C8" s="34"/>
      <c r="D8" s="34"/>
      <c r="E8" s="65" t="s">
        <v>275</v>
      </c>
      <c r="F8" s="34"/>
      <c r="G8" s="65" t="s">
        <v>276</v>
      </c>
    </row>
    <row r="9" ht="27.75" customHeight="1">
      <c r="A9" s="66">
        <v>1.0</v>
      </c>
      <c r="B9" s="67" t="s">
        <v>277</v>
      </c>
      <c r="C9" s="32"/>
      <c r="D9" s="61">
        <f>sum(D18:D24)</f>
        <v>0</v>
      </c>
      <c r="E9" s="61">
        <f>$D$5</f>
        <v>121</v>
      </c>
      <c r="F9" s="61">
        <f>sum(F18:F24)</f>
        <v>0</v>
      </c>
      <c r="G9" s="61">
        <f>$D$5</f>
        <v>121</v>
      </c>
    </row>
    <row r="10">
      <c r="A10" s="54">
        <f t="shared" ref="A10:A11" si="1">A9+1</f>
        <v>2</v>
      </c>
      <c r="B10" s="68" t="s">
        <v>278</v>
      </c>
      <c r="C10" s="34"/>
      <c r="D10" s="69">
        <f>sum(D25:D30)</f>
        <v>24</v>
      </c>
      <c r="E10" s="69">
        <f t="shared" ref="E10:E14" si="2">E9-D9</f>
        <v>121</v>
      </c>
      <c r="F10" s="69">
        <f>sum(F25:F30)</f>
        <v>23</v>
      </c>
      <c r="G10" s="69">
        <f t="shared" ref="G10:G14" si="3">G9-F9</f>
        <v>121</v>
      </c>
    </row>
    <row r="11">
      <c r="A11" s="66">
        <f t="shared" si="1"/>
        <v>3</v>
      </c>
      <c r="B11" s="70" t="s">
        <v>279</v>
      </c>
      <c r="C11" s="31"/>
      <c r="D11" s="61">
        <f>sum(D31:D35)</f>
        <v>18</v>
      </c>
      <c r="E11" s="61">
        <f t="shared" si="2"/>
        <v>97</v>
      </c>
      <c r="F11" s="61">
        <f>sum(F31:F35)</f>
        <v>18</v>
      </c>
      <c r="G11" s="61">
        <f t="shared" si="3"/>
        <v>98</v>
      </c>
    </row>
    <row r="12">
      <c r="A12" s="71">
        <v>4.0</v>
      </c>
      <c r="B12" s="68" t="s">
        <v>280</v>
      </c>
      <c r="C12" s="34"/>
      <c r="D12" s="34">
        <f>sum(D36:D41)</f>
        <v>18</v>
      </c>
      <c r="E12" s="69">
        <f t="shared" si="2"/>
        <v>79</v>
      </c>
      <c r="F12" s="34">
        <f>sum(F36:F41)</f>
        <v>13</v>
      </c>
      <c r="G12" s="69">
        <f t="shared" si="3"/>
        <v>80</v>
      </c>
    </row>
    <row r="13">
      <c r="A13" s="72">
        <v>5.0</v>
      </c>
      <c r="B13" s="70" t="s">
        <v>281</v>
      </c>
      <c r="C13" s="31"/>
      <c r="D13" s="31">
        <f>sum(D42:D50)</f>
        <v>29</v>
      </c>
      <c r="E13" s="31">
        <f t="shared" si="2"/>
        <v>61</v>
      </c>
      <c r="F13" s="31">
        <f>sum(F42:F50)</f>
        <v>37</v>
      </c>
      <c r="G13" s="31">
        <f t="shared" si="3"/>
        <v>67</v>
      </c>
    </row>
    <row r="14">
      <c r="A14" s="72">
        <v>6.0</v>
      </c>
      <c r="B14" s="70" t="s">
        <v>258</v>
      </c>
      <c r="C14" s="31"/>
      <c r="D14" s="31">
        <f>sum(D51:D58)</f>
        <v>32</v>
      </c>
      <c r="E14" s="31">
        <f t="shared" si="2"/>
        <v>32</v>
      </c>
      <c r="F14" s="31">
        <f>sum(F51:F58)</f>
        <v>26</v>
      </c>
      <c r="G14" s="31">
        <f t="shared" si="3"/>
        <v>30</v>
      </c>
    </row>
    <row r="15">
      <c r="A15" s="66"/>
      <c r="B15" s="73"/>
      <c r="C15" s="31"/>
      <c r="D15" s="31"/>
      <c r="E15" s="31"/>
      <c r="F15" s="31"/>
      <c r="G15" s="31"/>
    </row>
    <row r="16">
      <c r="A16" s="74" t="s">
        <v>282</v>
      </c>
      <c r="B16" s="75"/>
      <c r="C16" s="76"/>
      <c r="D16" s="76"/>
      <c r="E16" s="76"/>
      <c r="F16" s="76"/>
      <c r="G16" s="76"/>
    </row>
    <row r="17">
      <c r="A17" s="66"/>
      <c r="B17" s="77"/>
      <c r="C17" s="31"/>
      <c r="D17" s="31"/>
      <c r="E17" s="31"/>
      <c r="F17" s="31"/>
      <c r="G17" s="31"/>
    </row>
    <row r="18" ht="26.25" customHeight="1">
      <c r="A18" s="78">
        <f t="shared" ref="A18:B18" si="4">A9</f>
        <v>1</v>
      </c>
      <c r="B18" s="79" t="str">
        <f t="shared" si="4"/>
        <v>Establish the project foundation by completing initial research, defining the app direction, and setting up the frontend development environment.</v>
      </c>
      <c r="C18" s="80" t="s">
        <v>283</v>
      </c>
      <c r="D18" s="34"/>
      <c r="E18" s="34"/>
      <c r="F18" s="34"/>
      <c r="G18" s="34"/>
    </row>
    <row r="19" ht="28.5" customHeight="1">
      <c r="A19" s="66"/>
      <c r="B19" s="81"/>
      <c r="C19" s="32" t="s">
        <v>284</v>
      </c>
      <c r="D19" s="31"/>
      <c r="E19" s="31"/>
      <c r="F19" s="31"/>
      <c r="G19" s="31"/>
    </row>
    <row r="20">
      <c r="A20" s="66"/>
      <c r="B20" s="81"/>
      <c r="C20" s="32" t="s">
        <v>285</v>
      </c>
      <c r="D20" s="31"/>
      <c r="E20" s="31"/>
      <c r="F20" s="31"/>
      <c r="G20" s="31"/>
    </row>
    <row r="21">
      <c r="A21" s="54"/>
      <c r="B21" s="55"/>
      <c r="C21" s="82" t="s">
        <v>286</v>
      </c>
      <c r="D21" s="83"/>
      <c r="E21" s="84"/>
      <c r="F21" s="83"/>
      <c r="G21" s="84"/>
    </row>
    <row r="22">
      <c r="A22" s="66"/>
      <c r="B22" s="81"/>
      <c r="C22" s="31"/>
      <c r="D22" s="61"/>
      <c r="E22" s="31"/>
      <c r="F22" s="61"/>
      <c r="G22" s="31"/>
    </row>
    <row r="23">
      <c r="A23" s="85"/>
      <c r="B23" s="86"/>
      <c r="C23" s="87"/>
      <c r="D23" s="69"/>
      <c r="E23" s="87"/>
      <c r="F23" s="69"/>
      <c r="G23" s="87"/>
    </row>
    <row r="24">
      <c r="A24" s="66"/>
      <c r="B24" s="81"/>
      <c r="C24" s="31"/>
      <c r="D24" s="61"/>
      <c r="E24" s="31"/>
      <c r="F24" s="61"/>
      <c r="G24" s="31"/>
    </row>
    <row r="25">
      <c r="A25" s="78">
        <f t="shared" ref="A25:B25" si="5">A10</f>
        <v>2</v>
      </c>
      <c r="B25" s="79" t="str">
        <f t="shared" si="5"/>
        <v>Deliver the first functional application prototype with document upload, authentication UI, architecture planning, and initial document analysis capabilities.</v>
      </c>
      <c r="C25" s="29" t="s">
        <v>287</v>
      </c>
      <c r="D25" s="29">
        <v>8.0</v>
      </c>
      <c r="E25" s="34"/>
      <c r="F25" s="29">
        <v>8.0</v>
      </c>
      <c r="G25" s="34"/>
    </row>
    <row r="26">
      <c r="A26" s="66"/>
      <c r="B26" s="81"/>
      <c r="C26" s="32" t="s">
        <v>288</v>
      </c>
      <c r="D26" s="32">
        <v>8.0</v>
      </c>
      <c r="E26" s="31"/>
      <c r="F26" s="32">
        <v>8.0</v>
      </c>
      <c r="G26" s="31"/>
    </row>
    <row r="27">
      <c r="A27" s="85"/>
      <c r="B27" s="86"/>
      <c r="C27" s="82" t="s">
        <v>289</v>
      </c>
      <c r="D27" s="88">
        <v>3.0</v>
      </c>
      <c r="E27" s="87"/>
      <c r="F27" s="88">
        <v>3.0</v>
      </c>
      <c r="G27" s="87"/>
    </row>
    <row r="28">
      <c r="A28" s="66"/>
      <c r="B28" s="81"/>
      <c r="C28" s="32" t="s">
        <v>290</v>
      </c>
      <c r="D28" s="48">
        <v>3.0</v>
      </c>
      <c r="E28" s="31"/>
      <c r="F28" s="48">
        <v>2.0</v>
      </c>
      <c r="G28" s="31"/>
    </row>
    <row r="29">
      <c r="A29" s="85"/>
      <c r="B29" s="86"/>
      <c r="C29" s="82" t="s">
        <v>291</v>
      </c>
      <c r="D29" s="88">
        <v>2.0</v>
      </c>
      <c r="E29" s="87"/>
      <c r="F29" s="88">
        <v>2.0</v>
      </c>
      <c r="G29" s="87"/>
    </row>
    <row r="30">
      <c r="A30" s="66"/>
      <c r="B30" s="81"/>
      <c r="C30" s="31"/>
      <c r="D30" s="61"/>
      <c r="E30" s="31"/>
      <c r="F30" s="61"/>
      <c r="G30" s="31"/>
    </row>
    <row r="31">
      <c r="A31" s="78">
        <f t="shared" ref="A31:B31" si="6">A11</f>
        <v>3</v>
      </c>
      <c r="B31" s="79" t="str">
        <f t="shared" si="6"/>
        <v>Build the core document management UI, define the app navigation structure, and implement document capture using the camera while establishing the backend cloud infrastructure.</v>
      </c>
      <c r="C31" s="29" t="s">
        <v>292</v>
      </c>
      <c r="D31" s="29">
        <v>3.0</v>
      </c>
      <c r="E31" s="34"/>
      <c r="F31" s="29">
        <v>5.0</v>
      </c>
      <c r="G31" s="34"/>
    </row>
    <row r="32">
      <c r="A32" s="66"/>
      <c r="B32" s="81"/>
      <c r="C32" s="32" t="s">
        <v>293</v>
      </c>
      <c r="D32" s="32">
        <v>5.0</v>
      </c>
      <c r="E32" s="31"/>
      <c r="F32" s="32">
        <v>3.0</v>
      </c>
      <c r="G32" s="31"/>
    </row>
    <row r="33">
      <c r="A33" s="85"/>
      <c r="B33" s="86"/>
      <c r="C33" s="82" t="s">
        <v>294</v>
      </c>
      <c r="D33" s="88">
        <v>5.0</v>
      </c>
      <c r="E33" s="87"/>
      <c r="F33" s="82">
        <v>5.0</v>
      </c>
      <c r="G33" s="87"/>
    </row>
    <row r="34">
      <c r="A34" s="66"/>
      <c r="B34" s="81"/>
      <c r="C34" s="32" t="s">
        <v>295</v>
      </c>
      <c r="D34" s="48">
        <v>5.0</v>
      </c>
      <c r="E34" s="31"/>
      <c r="F34" s="32">
        <v>5.0</v>
      </c>
      <c r="G34" s="31"/>
    </row>
    <row r="35">
      <c r="A35" s="85"/>
      <c r="B35" s="86"/>
      <c r="C35" s="34"/>
      <c r="D35" s="69"/>
      <c r="E35" s="87"/>
      <c r="F35" s="87"/>
      <c r="G35" s="87"/>
    </row>
    <row r="36">
      <c r="A36" s="71">
        <v>4.0</v>
      </c>
      <c r="B36" s="89" t="str">
        <f>B12</f>
        <v>Refine the knowledge graph pipeline, set up the database for persistent app storage, and implement a consistent layout.</v>
      </c>
      <c r="C36" s="29" t="s">
        <v>296</v>
      </c>
      <c r="D36" s="88">
        <v>8.0</v>
      </c>
      <c r="E36" s="82"/>
      <c r="F36" s="82">
        <v>5.0</v>
      </c>
      <c r="G36" s="87"/>
    </row>
    <row r="37">
      <c r="A37" s="85"/>
      <c r="B37" s="86"/>
      <c r="C37" s="29" t="s">
        <v>297</v>
      </c>
      <c r="D37" s="88">
        <v>5.0</v>
      </c>
      <c r="E37" s="87"/>
      <c r="F37" s="82">
        <v>5.0</v>
      </c>
      <c r="G37" s="87"/>
    </row>
    <row r="38">
      <c r="A38" s="85"/>
      <c r="B38" s="86"/>
      <c r="C38" s="29" t="s">
        <v>298</v>
      </c>
      <c r="D38" s="88">
        <v>5.0</v>
      </c>
      <c r="E38" s="87"/>
      <c r="F38" s="82">
        <v>3.0</v>
      </c>
      <c r="G38" s="87"/>
    </row>
    <row r="39">
      <c r="A39" s="85"/>
      <c r="B39" s="86"/>
      <c r="C39" s="34"/>
      <c r="D39" s="88"/>
      <c r="E39" s="87"/>
      <c r="F39" s="82"/>
      <c r="G39" s="87"/>
    </row>
    <row r="40">
      <c r="A40" s="85"/>
      <c r="B40" s="86"/>
      <c r="C40" s="34"/>
      <c r="D40" s="69"/>
      <c r="E40" s="87"/>
      <c r="F40" s="87"/>
      <c r="G40" s="87"/>
    </row>
    <row r="41">
      <c r="A41" s="71"/>
      <c r="B41" s="86"/>
      <c r="C41" s="34"/>
      <c r="D41" s="69"/>
      <c r="E41" s="87"/>
      <c r="F41" s="87"/>
      <c r="G41" s="87"/>
    </row>
    <row r="42">
      <c r="A42" s="71">
        <v>5.0</v>
      </c>
      <c r="B42" s="89" t="str">
        <f>B13</f>
        <v>Implement user authentication and backend integration for document uploads while building the frontend UI components and backend pipeline required for knowledge graph extraction.</v>
      </c>
      <c r="C42" s="29" t="s">
        <v>299</v>
      </c>
      <c r="D42" s="88">
        <v>1.0</v>
      </c>
      <c r="E42" s="87"/>
      <c r="F42" s="82">
        <v>1.0</v>
      </c>
      <c r="G42" s="87"/>
    </row>
    <row r="43">
      <c r="A43" s="71"/>
      <c r="B43" s="86"/>
      <c r="C43" s="29" t="s">
        <v>300</v>
      </c>
      <c r="D43" s="88">
        <v>3.0</v>
      </c>
      <c r="E43" s="87"/>
      <c r="F43" s="82">
        <v>2.0</v>
      </c>
      <c r="G43" s="87"/>
    </row>
    <row r="44">
      <c r="A44" s="71"/>
      <c r="B44" s="86"/>
      <c r="C44" s="29" t="s">
        <v>301</v>
      </c>
      <c r="D44" s="88">
        <v>5.0</v>
      </c>
      <c r="E44" s="87"/>
      <c r="F44" s="82">
        <v>5.0</v>
      </c>
      <c r="G44" s="87"/>
    </row>
    <row r="45">
      <c r="A45" s="71"/>
      <c r="B45" s="86"/>
      <c r="C45" s="29" t="s">
        <v>302</v>
      </c>
      <c r="D45" s="88">
        <v>2.0</v>
      </c>
      <c r="E45" s="87"/>
      <c r="F45" s="82">
        <v>3.0</v>
      </c>
      <c r="G45" s="87"/>
    </row>
    <row r="46">
      <c r="A46" s="71"/>
      <c r="B46" s="86"/>
      <c r="C46" s="29" t="s">
        <v>303</v>
      </c>
      <c r="D46" s="88">
        <v>2.0</v>
      </c>
      <c r="E46" s="87"/>
      <c r="F46" s="82">
        <v>2.0</v>
      </c>
      <c r="G46" s="87"/>
    </row>
    <row r="47">
      <c r="A47" s="71"/>
      <c r="B47" s="86"/>
      <c r="C47" s="29" t="s">
        <v>304</v>
      </c>
      <c r="D47" s="88">
        <v>8.0</v>
      </c>
      <c r="E47" s="87"/>
      <c r="F47" s="82">
        <v>13.0</v>
      </c>
      <c r="G47" s="87"/>
    </row>
    <row r="48">
      <c r="A48" s="71"/>
      <c r="B48" s="86"/>
      <c r="C48" s="29" t="s">
        <v>305</v>
      </c>
      <c r="D48" s="88">
        <v>5.0</v>
      </c>
      <c r="E48" s="87"/>
      <c r="F48" s="82">
        <v>8.0</v>
      </c>
      <c r="G48" s="87"/>
    </row>
    <row r="49">
      <c r="A49" s="71"/>
      <c r="B49" s="86"/>
      <c r="C49" s="29" t="s">
        <v>306</v>
      </c>
      <c r="D49" s="88">
        <v>3.0</v>
      </c>
      <c r="E49" s="87"/>
      <c r="F49" s="82">
        <v>3.0</v>
      </c>
      <c r="G49" s="87"/>
    </row>
    <row r="50">
      <c r="A50" s="71"/>
      <c r="B50" s="86"/>
      <c r="C50" s="29"/>
      <c r="D50" s="88"/>
      <c r="E50" s="87"/>
      <c r="F50" s="87"/>
      <c r="G50" s="87"/>
    </row>
    <row r="51">
      <c r="A51" s="71">
        <v>6.0</v>
      </c>
      <c r="B51" s="79" t="str">
        <f>B14</f>
        <v>Complete the end-to-end application by integrating frontend views with backend APIs, enabling knowledge graph extraction and providing visualisation options for extracted knowledge graphs.</v>
      </c>
      <c r="C51" s="29" t="s">
        <v>307</v>
      </c>
      <c r="D51" s="88">
        <v>5.0</v>
      </c>
      <c r="E51" s="87"/>
      <c r="F51" s="82">
        <v>3.0</v>
      </c>
      <c r="G51" s="87"/>
    </row>
    <row r="52">
      <c r="A52" s="71"/>
      <c r="B52" s="86"/>
      <c r="C52" s="29" t="s">
        <v>308</v>
      </c>
      <c r="D52" s="88">
        <v>5.0</v>
      </c>
      <c r="E52" s="87"/>
      <c r="F52" s="82">
        <v>3.0</v>
      </c>
      <c r="G52" s="87"/>
    </row>
    <row r="53">
      <c r="A53" s="71"/>
      <c r="B53" s="86"/>
      <c r="C53" s="29" t="s">
        <v>309</v>
      </c>
      <c r="D53" s="88">
        <v>3.0</v>
      </c>
      <c r="E53" s="87"/>
      <c r="F53" s="82">
        <v>5.0</v>
      </c>
      <c r="G53" s="87"/>
    </row>
    <row r="54">
      <c r="A54" s="71"/>
      <c r="B54" s="86"/>
      <c r="C54" s="29" t="s">
        <v>310</v>
      </c>
      <c r="D54" s="88">
        <v>3.0</v>
      </c>
      <c r="E54" s="87"/>
      <c r="F54" s="82">
        <v>5.0</v>
      </c>
      <c r="G54" s="87"/>
    </row>
    <row r="55">
      <c r="A55" s="71"/>
      <c r="B55" s="86"/>
      <c r="C55" s="29" t="s">
        <v>311</v>
      </c>
      <c r="D55" s="88">
        <v>8.0</v>
      </c>
      <c r="E55" s="87"/>
      <c r="F55" s="82">
        <v>5.0</v>
      </c>
      <c r="G55" s="87"/>
    </row>
    <row r="56">
      <c r="A56" s="71"/>
      <c r="B56" s="86"/>
      <c r="C56" s="29" t="s">
        <v>312</v>
      </c>
      <c r="D56" s="88">
        <v>8.0</v>
      </c>
      <c r="E56" s="87"/>
      <c r="F56" s="82">
        <v>5.0</v>
      </c>
      <c r="G56" s="87"/>
    </row>
    <row r="57">
      <c r="A57" s="71"/>
      <c r="B57" s="86"/>
      <c r="C57" s="29"/>
      <c r="D57" s="88"/>
      <c r="E57" s="87"/>
      <c r="F57" s="87"/>
      <c r="G57" s="87"/>
    </row>
    <row r="58">
      <c r="A58" s="71"/>
      <c r="B58" s="86"/>
      <c r="C58" s="34"/>
      <c r="D58" s="69"/>
      <c r="E58" s="87"/>
      <c r="F58" s="87"/>
      <c r="G58" s="87"/>
    </row>
    <row r="59">
      <c r="A59" s="66"/>
      <c r="B59" s="81"/>
      <c r="C59" s="90" t="s">
        <v>313</v>
      </c>
      <c r="D59" s="61"/>
      <c r="E59" s="31"/>
      <c r="F59" s="31"/>
      <c r="G59" s="31"/>
    </row>
    <row r="60">
      <c r="A60" s="85"/>
      <c r="B60" s="86"/>
      <c r="C60" s="34"/>
      <c r="D60" s="34"/>
      <c r="E60" s="34"/>
      <c r="F60" s="34"/>
      <c r="G60"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1.13"/>
    <col customWidth="1" min="3" max="3" width="60.25"/>
    <col customWidth="1" min="4" max="7" width="15.75"/>
  </cols>
  <sheetData>
    <row r="1">
      <c r="A1" s="50" t="s">
        <v>265</v>
      </c>
      <c r="B1" s="51" t="s">
        <v>266</v>
      </c>
      <c r="C1" s="52" t="s">
        <v>267</v>
      </c>
      <c r="D1" s="53" t="s">
        <v>268</v>
      </c>
      <c r="E1" s="53" t="s">
        <v>269</v>
      </c>
      <c r="F1" s="53" t="s">
        <v>270</v>
      </c>
      <c r="G1" s="53" t="s">
        <v>271</v>
      </c>
    </row>
    <row r="2">
      <c r="A2" s="54"/>
      <c r="B2" s="34"/>
      <c r="C2" s="34"/>
      <c r="D2" s="34"/>
      <c r="E2" s="34"/>
      <c r="F2" s="34"/>
      <c r="G2" s="34"/>
    </row>
    <row r="3">
      <c r="A3" s="56" t="s">
        <v>272</v>
      </c>
      <c r="B3" s="58"/>
      <c r="C3" s="58"/>
      <c r="D3" s="58"/>
      <c r="E3" s="58"/>
      <c r="F3" s="58"/>
      <c r="G3" s="58"/>
    </row>
    <row r="4">
      <c r="A4" s="54"/>
      <c r="B4" s="34"/>
      <c r="C4" s="34"/>
      <c r="D4" s="34"/>
      <c r="E4" s="34"/>
      <c r="F4" s="34"/>
      <c r="G4" s="34"/>
    </row>
    <row r="5">
      <c r="A5" s="59" t="s">
        <v>273</v>
      </c>
      <c r="B5" s="31"/>
      <c r="C5" s="31"/>
      <c r="D5" s="61">
        <f>sum(D8:D16)</f>
        <v>76</v>
      </c>
      <c r="E5" s="61">
        <f>D5</f>
        <v>76</v>
      </c>
      <c r="F5" s="31"/>
      <c r="G5" s="31"/>
    </row>
    <row r="6">
      <c r="A6" s="54"/>
      <c r="B6" s="34"/>
      <c r="C6" s="34"/>
      <c r="D6" s="34"/>
      <c r="E6" s="34"/>
      <c r="F6" s="34"/>
      <c r="G6" s="34"/>
    </row>
    <row r="7">
      <c r="A7" s="62" t="s">
        <v>274</v>
      </c>
      <c r="B7" s="91"/>
      <c r="C7" s="64"/>
      <c r="D7" s="64"/>
      <c r="E7" s="64"/>
      <c r="F7" s="64"/>
      <c r="G7" s="64"/>
    </row>
    <row r="8">
      <c r="A8" s="54"/>
      <c r="B8" s="34"/>
      <c r="C8" s="34"/>
      <c r="D8" s="34"/>
      <c r="E8" s="65" t="s">
        <v>275</v>
      </c>
      <c r="F8" s="34"/>
      <c r="G8" s="65" t="s">
        <v>276</v>
      </c>
    </row>
    <row r="9">
      <c r="A9" s="72">
        <v>7.0</v>
      </c>
      <c r="B9" s="32" t="s">
        <v>259</v>
      </c>
      <c r="C9" s="31"/>
      <c r="D9" s="61">
        <f>sum(D19:D26)</f>
        <v>31</v>
      </c>
      <c r="E9" s="61">
        <f>$D$5</f>
        <v>76</v>
      </c>
      <c r="F9" s="61">
        <f>sum(F19:F26)</f>
        <v>18</v>
      </c>
      <c r="G9" s="61">
        <f>$D$5</f>
        <v>76</v>
      </c>
    </row>
    <row r="10">
      <c r="A10" s="54">
        <f t="shared" ref="A10:A15" si="1">A9+1</f>
        <v>8</v>
      </c>
      <c r="B10" s="29" t="s">
        <v>314</v>
      </c>
      <c r="C10" s="34"/>
      <c r="D10" s="69">
        <f>sum(D27:D39)</f>
        <v>45</v>
      </c>
      <c r="E10" s="69">
        <f t="shared" ref="E10:E15" si="2">E9-D9</f>
        <v>45</v>
      </c>
      <c r="F10" s="69">
        <f>sum(F27:F39)</f>
        <v>0</v>
      </c>
      <c r="G10" s="69">
        <f t="shared" ref="G10:G15" si="3">G9-F9</f>
        <v>58</v>
      </c>
    </row>
    <row r="11">
      <c r="A11" s="66">
        <f t="shared" si="1"/>
        <v>9</v>
      </c>
      <c r="B11" s="32" t="s">
        <v>261</v>
      </c>
      <c r="C11" s="31"/>
      <c r="D11" s="61">
        <f>sum(D40:D51)</f>
        <v>0</v>
      </c>
      <c r="E11" s="61">
        <f t="shared" si="2"/>
        <v>0</v>
      </c>
      <c r="F11" s="61">
        <f>sum(F40:F51)</f>
        <v>0</v>
      </c>
      <c r="G11" s="61">
        <f t="shared" si="3"/>
        <v>58</v>
      </c>
    </row>
    <row r="12">
      <c r="A12" s="71">
        <f t="shared" si="1"/>
        <v>10</v>
      </c>
      <c r="B12" s="29" t="s">
        <v>315</v>
      </c>
      <c r="C12" s="34"/>
      <c r="D12" s="29">
        <f>sum(D52:D61)</f>
        <v>0</v>
      </c>
      <c r="E12" s="69">
        <f t="shared" si="2"/>
        <v>0</v>
      </c>
      <c r="F12" s="29">
        <f>sum(F52:F61)</f>
        <v>0</v>
      </c>
      <c r="G12" s="69">
        <f t="shared" si="3"/>
        <v>58</v>
      </c>
    </row>
    <row r="13">
      <c r="A13" s="72">
        <f t="shared" si="1"/>
        <v>11</v>
      </c>
      <c r="B13" s="32" t="s">
        <v>316</v>
      </c>
      <c r="C13" s="31"/>
      <c r="D13" s="31">
        <f>SUM(D62:D68)</f>
        <v>0</v>
      </c>
      <c r="E13" s="31">
        <f t="shared" si="2"/>
        <v>0</v>
      </c>
      <c r="F13" s="31">
        <f>SUM(F62:F68)</f>
        <v>0</v>
      </c>
      <c r="G13" s="31">
        <f t="shared" si="3"/>
        <v>58</v>
      </c>
    </row>
    <row r="14">
      <c r="A14" s="71">
        <f t="shared" si="1"/>
        <v>12</v>
      </c>
      <c r="B14" s="29" t="s">
        <v>317</v>
      </c>
      <c r="C14" s="34"/>
      <c r="D14" s="34">
        <f>SUM(D69:D74)</f>
        <v>0</v>
      </c>
      <c r="E14" s="34">
        <f t="shared" si="2"/>
        <v>0</v>
      </c>
      <c r="F14" s="34">
        <f>SUM(F69:F74)</f>
        <v>0</v>
      </c>
      <c r="G14" s="34">
        <f t="shared" si="3"/>
        <v>58</v>
      </c>
    </row>
    <row r="15">
      <c r="A15" s="72">
        <f t="shared" si="1"/>
        <v>13</v>
      </c>
      <c r="B15" s="32" t="s">
        <v>318</v>
      </c>
      <c r="C15" s="31"/>
      <c r="D15" s="31">
        <f>SUM(D75:D81)</f>
        <v>0</v>
      </c>
      <c r="E15" s="31">
        <f t="shared" si="2"/>
        <v>0</v>
      </c>
      <c r="F15" s="31">
        <f>SUM(F75:F81)</f>
        <v>0</v>
      </c>
      <c r="G15" s="31">
        <f t="shared" si="3"/>
        <v>58</v>
      </c>
    </row>
    <row r="16">
      <c r="A16" s="85"/>
      <c r="B16" s="34"/>
      <c r="C16" s="34"/>
      <c r="D16" s="34"/>
      <c r="E16" s="34"/>
      <c r="F16" s="34"/>
      <c r="G16" s="34"/>
    </row>
    <row r="17">
      <c r="A17" s="74" t="s">
        <v>282</v>
      </c>
      <c r="B17" s="92"/>
      <c r="C17" s="76"/>
      <c r="D17" s="76"/>
      <c r="E17" s="76"/>
      <c r="F17" s="76"/>
      <c r="G17" s="76"/>
    </row>
    <row r="18">
      <c r="A18" s="66"/>
      <c r="B18" s="31"/>
      <c r="C18" s="31"/>
      <c r="D18" s="31"/>
      <c r="E18" s="31"/>
      <c r="F18" s="31"/>
      <c r="G18" s="31"/>
    </row>
    <row r="19">
      <c r="A19" s="78">
        <f t="shared" ref="A19:B19" si="4">A9</f>
        <v>7</v>
      </c>
      <c r="B19" s="33" t="str">
        <f t="shared" si="4"/>
        <v>Improve knowledge graph quality, introduce AI chat capabilities, and enhance the user experience with document handling and usability improvements.</v>
      </c>
      <c r="C19" s="29" t="s">
        <v>319</v>
      </c>
      <c r="D19" s="29">
        <v>3.0</v>
      </c>
      <c r="E19" s="29"/>
      <c r="F19" s="29" t="s">
        <v>320</v>
      </c>
      <c r="G19" s="34"/>
    </row>
    <row r="20">
      <c r="A20" s="66"/>
      <c r="B20" s="93"/>
      <c r="C20" s="32" t="s">
        <v>321</v>
      </c>
      <c r="D20" s="32">
        <v>5.0</v>
      </c>
      <c r="E20" s="31"/>
      <c r="F20" s="32">
        <v>5.0</v>
      </c>
      <c r="G20" s="31"/>
    </row>
    <row r="21">
      <c r="A21" s="85"/>
      <c r="B21" s="94"/>
      <c r="C21" s="29" t="s">
        <v>322</v>
      </c>
      <c r="D21" s="29">
        <v>5.0</v>
      </c>
      <c r="E21" s="34"/>
      <c r="F21" s="29" t="s">
        <v>320</v>
      </c>
      <c r="G21" s="34"/>
    </row>
    <row r="22">
      <c r="A22" s="66"/>
      <c r="B22" s="95"/>
      <c r="C22" s="32" t="s">
        <v>239</v>
      </c>
      <c r="D22" s="48">
        <v>5.0</v>
      </c>
      <c r="E22" s="31"/>
      <c r="F22" s="32">
        <v>5.0</v>
      </c>
      <c r="G22" s="31"/>
    </row>
    <row r="23">
      <c r="A23" s="85"/>
      <c r="B23" s="36"/>
      <c r="C23" s="82" t="s">
        <v>323</v>
      </c>
      <c r="D23" s="88">
        <v>3.0</v>
      </c>
      <c r="E23" s="87"/>
      <c r="F23" s="29">
        <v>5.0</v>
      </c>
      <c r="G23" s="87"/>
    </row>
    <row r="24">
      <c r="A24" s="66"/>
      <c r="B24" s="95"/>
      <c r="C24" s="32" t="s">
        <v>324</v>
      </c>
      <c r="D24" s="48">
        <v>3.0</v>
      </c>
      <c r="E24" s="31"/>
      <c r="F24" s="32">
        <v>3.0</v>
      </c>
      <c r="G24" s="31"/>
    </row>
    <row r="25">
      <c r="A25" s="85"/>
      <c r="B25" s="36"/>
      <c r="C25" s="29" t="s">
        <v>325</v>
      </c>
      <c r="D25" s="88">
        <v>2.0</v>
      </c>
      <c r="E25" s="34"/>
      <c r="F25" s="29" t="s">
        <v>320</v>
      </c>
      <c r="G25" s="34"/>
    </row>
    <row r="26">
      <c r="A26" s="66"/>
      <c r="B26" s="95"/>
      <c r="C26" s="32" t="s">
        <v>326</v>
      </c>
      <c r="D26" s="48">
        <v>5.0</v>
      </c>
      <c r="E26" s="31"/>
      <c r="F26" s="32" t="s">
        <v>320</v>
      </c>
      <c r="G26" s="31"/>
    </row>
    <row r="27">
      <c r="A27" s="78">
        <f t="shared" ref="A27:B27" si="5">A10</f>
        <v>8</v>
      </c>
      <c r="B27" s="36" t="str">
        <f t="shared" si="5"/>
        <v>Create a unified user knowledge graph and connect it to the chat system, enabling context-aware conversations and persistent chat management.</v>
      </c>
      <c r="C27" s="29"/>
      <c r="D27" s="29"/>
      <c r="E27" s="34"/>
      <c r="F27" s="29"/>
      <c r="G27" s="34"/>
    </row>
    <row r="28">
      <c r="A28" s="66"/>
      <c r="B28" s="93"/>
      <c r="C28" s="40" t="s">
        <v>322</v>
      </c>
      <c r="D28" s="32">
        <v>5.0</v>
      </c>
      <c r="E28" s="31"/>
      <c r="F28" s="32"/>
      <c r="G28" s="31"/>
    </row>
    <row r="29">
      <c r="A29" s="85"/>
      <c r="B29" s="36"/>
      <c r="C29" s="10" t="s">
        <v>327</v>
      </c>
      <c r="D29" s="29">
        <v>3.0</v>
      </c>
      <c r="E29" s="87"/>
      <c r="F29" s="29"/>
      <c r="G29" s="87"/>
    </row>
    <row r="30">
      <c r="A30" s="66"/>
      <c r="B30" s="95"/>
      <c r="C30" s="32" t="s">
        <v>328</v>
      </c>
      <c r="D30" s="48">
        <v>8.0</v>
      </c>
      <c r="E30" s="31"/>
      <c r="F30" s="32"/>
      <c r="G30" s="31"/>
    </row>
    <row r="31">
      <c r="A31" s="85"/>
      <c r="B31" s="36"/>
      <c r="C31" s="82" t="s">
        <v>329</v>
      </c>
      <c r="D31" s="88">
        <v>3.0</v>
      </c>
      <c r="E31" s="87"/>
      <c r="F31" s="29"/>
      <c r="G31" s="87"/>
    </row>
    <row r="32">
      <c r="A32" s="85"/>
      <c r="B32" s="36"/>
      <c r="C32" s="82" t="s">
        <v>330</v>
      </c>
      <c r="D32" s="88">
        <v>1.0</v>
      </c>
      <c r="E32" s="87"/>
      <c r="F32" s="29"/>
      <c r="G32" s="87"/>
    </row>
    <row r="33">
      <c r="A33" s="66"/>
      <c r="B33" s="95"/>
      <c r="C33" s="32" t="s">
        <v>331</v>
      </c>
      <c r="D33" s="48">
        <v>5.0</v>
      </c>
      <c r="E33" s="31"/>
      <c r="F33" s="32"/>
      <c r="G33" s="31"/>
    </row>
    <row r="34">
      <c r="A34" s="85"/>
      <c r="B34" s="36"/>
      <c r="C34" s="96" t="s">
        <v>325</v>
      </c>
      <c r="D34" s="97">
        <v>2.0</v>
      </c>
      <c r="E34" s="34"/>
      <c r="F34" s="29"/>
      <c r="G34" s="34"/>
    </row>
    <row r="35">
      <c r="A35" s="66"/>
      <c r="B35" s="95"/>
      <c r="C35" s="32" t="s">
        <v>332</v>
      </c>
      <c r="D35" s="48">
        <v>3.0</v>
      </c>
      <c r="E35" s="31"/>
      <c r="F35" s="32"/>
      <c r="G35" s="31"/>
    </row>
    <row r="36">
      <c r="A36" s="66"/>
      <c r="B36" s="95"/>
      <c r="C36" s="32" t="s">
        <v>333</v>
      </c>
      <c r="D36" s="48">
        <v>5.0</v>
      </c>
      <c r="E36" s="31"/>
      <c r="F36" s="32"/>
      <c r="G36" s="31"/>
    </row>
    <row r="37">
      <c r="A37" s="66"/>
      <c r="B37" s="95"/>
      <c r="C37" s="32" t="s">
        <v>326</v>
      </c>
      <c r="D37" s="48">
        <v>5.0</v>
      </c>
      <c r="E37" s="31"/>
      <c r="F37" s="32"/>
      <c r="G37" s="31"/>
    </row>
    <row r="38">
      <c r="A38" s="66"/>
      <c r="B38" s="95"/>
      <c r="C38" s="32" t="s">
        <v>334</v>
      </c>
      <c r="D38" s="48">
        <v>5.0</v>
      </c>
      <c r="E38" s="31"/>
      <c r="F38" s="32"/>
      <c r="G38" s="31"/>
    </row>
    <row r="39">
      <c r="A39" s="66"/>
      <c r="B39" s="95"/>
      <c r="C39" s="32"/>
      <c r="D39" s="48"/>
      <c r="E39" s="31"/>
      <c r="F39" s="32"/>
      <c r="G39" s="31"/>
    </row>
    <row r="40">
      <c r="A40" s="78">
        <f t="shared" ref="A40:B40" si="6">A11</f>
        <v>9</v>
      </c>
      <c r="B40" s="36" t="str">
        <f t="shared" si="6"/>
        <v>Enable an AI chat assistant experience through Knowledge Graph improvements, chat integration, and voice/camera capabilities.</v>
      </c>
      <c r="C40" s="40" t="s">
        <v>335</v>
      </c>
      <c r="D40" s="34"/>
      <c r="E40" s="34"/>
      <c r="F40" s="34"/>
      <c r="G40" s="34"/>
    </row>
    <row r="41">
      <c r="A41" s="66"/>
      <c r="B41" s="93"/>
      <c r="C41" s="98" t="s">
        <v>336</v>
      </c>
      <c r="D41" s="31"/>
      <c r="E41" s="31"/>
      <c r="F41" s="31"/>
      <c r="G41" s="31"/>
    </row>
    <row r="42">
      <c r="A42" s="66"/>
      <c r="B42" s="93"/>
      <c r="C42" s="98" t="s">
        <v>337</v>
      </c>
      <c r="D42" s="31"/>
      <c r="E42" s="31"/>
      <c r="F42" s="31"/>
      <c r="G42" s="31"/>
    </row>
    <row r="43">
      <c r="A43" s="66"/>
      <c r="B43" s="93"/>
      <c r="C43" s="98" t="s">
        <v>338</v>
      </c>
      <c r="D43" s="31"/>
      <c r="E43" s="31"/>
      <c r="F43" s="31"/>
      <c r="G43" s="31"/>
    </row>
    <row r="44">
      <c r="A44" s="66"/>
      <c r="B44" s="93"/>
      <c r="C44" s="98" t="s">
        <v>339</v>
      </c>
      <c r="D44" s="31"/>
      <c r="E44" s="31"/>
      <c r="F44" s="31"/>
      <c r="G44" s="31"/>
    </row>
    <row r="45">
      <c r="A45" s="99"/>
      <c r="B45" s="36"/>
      <c r="C45" s="82" t="s">
        <v>340</v>
      </c>
      <c r="D45" s="69"/>
      <c r="E45" s="87"/>
      <c r="F45" s="87"/>
      <c r="G45" s="87"/>
    </row>
    <row r="46">
      <c r="A46" s="99"/>
      <c r="B46" s="36"/>
      <c r="C46" s="82" t="s">
        <v>341</v>
      </c>
      <c r="D46" s="69"/>
      <c r="E46" s="87"/>
      <c r="F46" s="87"/>
      <c r="G46" s="87"/>
    </row>
    <row r="47">
      <c r="A47" s="100"/>
      <c r="B47" s="95"/>
      <c r="C47" s="32" t="s">
        <v>342</v>
      </c>
      <c r="D47" s="61"/>
      <c r="E47" s="31"/>
      <c r="F47" s="31"/>
      <c r="G47" s="31"/>
    </row>
    <row r="48">
      <c r="A48" s="99"/>
      <c r="B48" s="36"/>
      <c r="C48" s="29" t="s">
        <v>343</v>
      </c>
      <c r="D48" s="69"/>
      <c r="E48" s="87"/>
      <c r="F48" s="87"/>
      <c r="G48" s="87"/>
    </row>
    <row r="49">
      <c r="A49" s="100"/>
      <c r="B49" s="95"/>
      <c r="C49" s="101" t="s">
        <v>344</v>
      </c>
      <c r="D49" s="61"/>
      <c r="E49" s="31"/>
      <c r="F49" s="31"/>
      <c r="G49" s="31"/>
    </row>
    <row r="50">
      <c r="A50" s="100"/>
      <c r="B50" s="95"/>
      <c r="C50" s="102"/>
      <c r="D50" s="61"/>
      <c r="E50" s="31"/>
      <c r="F50" s="31"/>
      <c r="G50" s="31"/>
    </row>
    <row r="51">
      <c r="A51" s="100"/>
      <c r="B51" s="95"/>
      <c r="C51" s="102"/>
      <c r="D51" s="61"/>
      <c r="E51" s="31"/>
      <c r="F51" s="31"/>
      <c r="G51" s="31"/>
    </row>
    <row r="52">
      <c r="A52" s="103">
        <f t="shared" ref="A52:B52" si="7">A12</f>
        <v>10</v>
      </c>
      <c r="B52" s="36" t="str">
        <f t="shared" si="7"/>
        <v>Integrate external knowledge sources such as research papers as AI chat contexts and visualise clickable sources in AI answers.</v>
      </c>
      <c r="C52" s="29" t="s">
        <v>345</v>
      </c>
      <c r="D52" s="34"/>
      <c r="E52" s="34"/>
      <c r="F52" s="34"/>
      <c r="G52" s="34"/>
    </row>
    <row r="53">
      <c r="A53" s="100"/>
      <c r="B53" s="95"/>
      <c r="C53" s="32" t="s">
        <v>346</v>
      </c>
      <c r="D53" s="31"/>
      <c r="E53" s="31"/>
      <c r="F53" s="31"/>
      <c r="G53" s="31"/>
    </row>
    <row r="54">
      <c r="A54" s="99"/>
      <c r="B54" s="36"/>
      <c r="C54" s="29" t="s">
        <v>347</v>
      </c>
      <c r="D54" s="34"/>
      <c r="E54" s="34"/>
      <c r="F54" s="34"/>
      <c r="G54" s="34"/>
    </row>
    <row r="55">
      <c r="A55" s="100"/>
      <c r="B55" s="95"/>
      <c r="C55" s="32" t="s">
        <v>348</v>
      </c>
      <c r="D55" s="31"/>
      <c r="E55" s="31"/>
      <c r="F55" s="31"/>
      <c r="G55" s="31"/>
    </row>
    <row r="56">
      <c r="A56" s="99"/>
      <c r="B56" s="36"/>
      <c r="C56" s="29" t="s">
        <v>349</v>
      </c>
      <c r="D56" s="34"/>
      <c r="E56" s="34"/>
      <c r="F56" s="34"/>
      <c r="G56" s="34"/>
    </row>
    <row r="57">
      <c r="A57" s="100"/>
      <c r="B57" s="95"/>
      <c r="C57" s="32" t="s">
        <v>350</v>
      </c>
      <c r="D57" s="31"/>
      <c r="E57" s="31"/>
      <c r="F57" s="31"/>
      <c r="G57" s="31"/>
    </row>
    <row r="58">
      <c r="A58" s="100"/>
      <c r="B58" s="95"/>
      <c r="C58" s="32" t="s">
        <v>351</v>
      </c>
      <c r="D58" s="31"/>
      <c r="E58" s="31"/>
      <c r="F58" s="31"/>
      <c r="G58" s="31"/>
    </row>
    <row r="59">
      <c r="A59" s="100"/>
      <c r="B59" s="95"/>
      <c r="C59" s="32" t="s">
        <v>352</v>
      </c>
      <c r="D59" s="31"/>
      <c r="E59" s="31"/>
      <c r="F59" s="31"/>
      <c r="G59" s="31"/>
    </row>
    <row r="60">
      <c r="A60" s="100"/>
      <c r="B60" s="95"/>
      <c r="C60" s="32" t="s">
        <v>353</v>
      </c>
      <c r="D60" s="31"/>
      <c r="E60" s="31"/>
      <c r="F60" s="31"/>
      <c r="G60" s="31"/>
    </row>
    <row r="61">
      <c r="A61" s="100"/>
      <c r="B61" s="95"/>
      <c r="C61" s="32"/>
      <c r="D61" s="31"/>
      <c r="E61" s="31"/>
      <c r="F61" s="31"/>
      <c r="G61" s="31"/>
    </row>
    <row r="62">
      <c r="A62" s="103">
        <f t="shared" ref="A62:B62" si="8">A13</f>
        <v>11</v>
      </c>
      <c r="B62" s="36" t="str">
        <f t="shared" si="8"/>
        <v>Implement normal RAG chat as comparison to knowledge graph contexts in AI chats.</v>
      </c>
      <c r="C62" s="29" t="s">
        <v>354</v>
      </c>
      <c r="D62" s="34"/>
      <c r="E62" s="34"/>
      <c r="F62" s="34"/>
      <c r="G62" s="34"/>
    </row>
    <row r="63">
      <c r="A63" s="100"/>
      <c r="B63" s="95"/>
      <c r="C63" s="32" t="s">
        <v>355</v>
      </c>
      <c r="D63" s="31"/>
      <c r="E63" s="31"/>
      <c r="F63" s="31"/>
      <c r="G63" s="31"/>
    </row>
    <row r="64">
      <c r="A64" s="99"/>
      <c r="B64" s="36"/>
      <c r="C64" s="29" t="s">
        <v>356</v>
      </c>
      <c r="D64" s="34"/>
      <c r="E64" s="34"/>
      <c r="F64" s="34"/>
      <c r="G64" s="34"/>
    </row>
    <row r="65">
      <c r="A65" s="100"/>
      <c r="B65" s="95"/>
      <c r="C65" s="32" t="s">
        <v>357</v>
      </c>
      <c r="D65" s="31"/>
      <c r="E65" s="31"/>
      <c r="F65" s="31"/>
      <c r="G65" s="31"/>
    </row>
    <row r="66">
      <c r="A66" s="100"/>
      <c r="B66" s="95"/>
      <c r="C66" s="32"/>
      <c r="D66" s="31"/>
      <c r="E66" s="31"/>
      <c r="F66" s="31"/>
      <c r="G66" s="31"/>
    </row>
    <row r="67">
      <c r="A67" s="99"/>
      <c r="B67" s="36"/>
      <c r="C67" s="34"/>
      <c r="D67" s="34"/>
      <c r="E67" s="34"/>
      <c r="F67" s="34"/>
      <c r="G67" s="34"/>
    </row>
    <row r="68">
      <c r="A68" s="100"/>
      <c r="B68" s="95"/>
      <c r="C68" s="31"/>
      <c r="D68" s="31"/>
      <c r="E68" s="31"/>
      <c r="F68" s="31"/>
      <c r="G68" s="31"/>
    </row>
    <row r="69">
      <c r="A69" s="103">
        <f t="shared" ref="A69:B69" si="9">A14</f>
        <v>12</v>
      </c>
      <c r="B69" s="36" t="str">
        <f t="shared" si="9"/>
        <v>Finalise features, documentation, bug fixes and polishing of UX.</v>
      </c>
      <c r="C69" s="29" t="s">
        <v>358</v>
      </c>
      <c r="D69" s="34"/>
      <c r="E69" s="34"/>
      <c r="F69" s="34"/>
      <c r="G69" s="34"/>
    </row>
    <row r="70">
      <c r="A70" s="100"/>
      <c r="B70" s="95"/>
      <c r="C70" s="32" t="s">
        <v>359</v>
      </c>
      <c r="D70" s="31"/>
      <c r="E70" s="31"/>
      <c r="F70" s="31"/>
      <c r="G70" s="31"/>
    </row>
    <row r="71">
      <c r="A71" s="99"/>
      <c r="B71" s="36"/>
      <c r="C71" s="34"/>
      <c r="D71" s="34"/>
      <c r="E71" s="34"/>
      <c r="F71" s="34"/>
      <c r="G71" s="34"/>
    </row>
    <row r="72">
      <c r="A72" s="100"/>
      <c r="B72" s="95"/>
      <c r="C72" s="31"/>
      <c r="D72" s="31"/>
      <c r="E72" s="31"/>
      <c r="F72" s="31"/>
      <c r="G72" s="31"/>
    </row>
    <row r="73">
      <c r="A73" s="99"/>
      <c r="B73" s="36"/>
      <c r="C73" s="34"/>
      <c r="D73" s="34"/>
      <c r="E73" s="34"/>
      <c r="F73" s="34"/>
      <c r="G73" s="34"/>
    </row>
    <row r="74">
      <c r="A74" s="100"/>
      <c r="B74" s="95"/>
      <c r="C74" s="31"/>
      <c r="D74" s="31"/>
      <c r="E74" s="31"/>
      <c r="F74" s="31"/>
      <c r="G74" s="31"/>
    </row>
    <row r="75">
      <c r="A75" s="103">
        <f t="shared" ref="A75:B75" si="10">A15</f>
        <v>13</v>
      </c>
      <c r="B75" s="36" t="str">
        <f t="shared" si="10"/>
        <v>Buffer</v>
      </c>
      <c r="C75" s="34"/>
      <c r="D75" s="34"/>
      <c r="E75" s="34"/>
      <c r="F75" s="34"/>
      <c r="G75" s="34"/>
    </row>
    <row r="76">
      <c r="A76" s="100"/>
      <c r="B76" s="95"/>
      <c r="C76" s="31"/>
      <c r="D76" s="31"/>
      <c r="E76" s="31"/>
      <c r="F76" s="31"/>
      <c r="G76" s="31"/>
    </row>
    <row r="77">
      <c r="A77" s="99"/>
      <c r="B77" s="36"/>
      <c r="C77" s="34"/>
      <c r="D77" s="34"/>
      <c r="E77" s="34"/>
      <c r="F77" s="34"/>
      <c r="G77" s="34"/>
    </row>
    <row r="78">
      <c r="A78" s="100"/>
      <c r="B78" s="95"/>
      <c r="C78" s="31"/>
      <c r="D78" s="31"/>
      <c r="E78" s="31"/>
      <c r="F78" s="31"/>
      <c r="G78" s="31"/>
    </row>
    <row r="79">
      <c r="A79" s="99"/>
      <c r="B79" s="36"/>
      <c r="C79" s="34"/>
      <c r="D79" s="34"/>
      <c r="E79" s="34"/>
      <c r="F79" s="34"/>
      <c r="G79" s="34"/>
    </row>
    <row r="80">
      <c r="A80" s="100"/>
      <c r="B80" s="95"/>
      <c r="C80" s="31"/>
      <c r="D80" s="31"/>
      <c r="E80" s="31"/>
      <c r="F80" s="31"/>
      <c r="G80" s="31"/>
    </row>
    <row r="81">
      <c r="A81" s="100"/>
      <c r="B81" s="95"/>
      <c r="C81" s="31"/>
      <c r="D81" s="31"/>
      <c r="E81" s="31"/>
      <c r="F81" s="31"/>
      <c r="G81" s="31"/>
    </row>
    <row r="82">
      <c r="A82" s="99"/>
      <c r="B82" s="36"/>
      <c r="C82" s="104" t="s">
        <v>313</v>
      </c>
      <c r="D82" s="34"/>
      <c r="E82" s="34"/>
      <c r="F82" s="34"/>
      <c r="G82" s="3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05" t="s">
        <v>68</v>
      </c>
      <c r="B1" s="106" t="s">
        <v>360</v>
      </c>
      <c r="C1" s="106" t="s">
        <v>361</v>
      </c>
      <c r="D1" s="107" t="s">
        <v>362</v>
      </c>
    </row>
    <row r="2">
      <c r="A2" s="3"/>
      <c r="B2" s="2" t="s">
        <v>363</v>
      </c>
      <c r="C2" s="2" t="s">
        <v>364</v>
      </c>
      <c r="D2" s="2" t="s">
        <v>365</v>
      </c>
    </row>
    <row r="3">
      <c r="A3" s="3"/>
      <c r="B3" s="2" t="s">
        <v>366</v>
      </c>
      <c r="C3" s="2" t="s">
        <v>367</v>
      </c>
      <c r="D3" s="2" t="s">
        <v>368</v>
      </c>
    </row>
    <row r="4">
      <c r="A4" s="3"/>
      <c r="B4" s="2" t="s">
        <v>369</v>
      </c>
      <c r="C4" s="2"/>
      <c r="D4" s="2" t="s">
        <v>370</v>
      </c>
    </row>
    <row r="5">
      <c r="A5" s="3"/>
      <c r="B5" s="2" t="s">
        <v>371</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372</v>
      </c>
      <c r="B1" s="4" t="s">
        <v>373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108" t="s">
        <v>68</v>
      </c>
      <c r="B1" s="109" t="s">
        <v>374</v>
      </c>
      <c r="C1" s="109" t="s">
        <v>375</v>
      </c>
      <c r="D1" s="109" t="s">
        <v>376</v>
      </c>
      <c r="E1" s="109" t="s">
        <v>377</v>
      </c>
      <c r="F1" s="109" t="s">
        <v>75</v>
      </c>
    </row>
    <row r="2">
      <c r="B2" s="10" t="s">
        <v>378</v>
      </c>
      <c r="C2" s="10" t="s">
        <v>379</v>
      </c>
      <c r="D2" s="10" t="s">
        <v>380</v>
      </c>
      <c r="E2" s="10" t="s">
        <v>381</v>
      </c>
      <c r="F2" s="10"/>
    </row>
    <row r="3">
      <c r="B3" s="10" t="s">
        <v>378</v>
      </c>
      <c r="C3" s="10" t="s">
        <v>382</v>
      </c>
      <c r="D3" s="10" t="s">
        <v>383</v>
      </c>
      <c r="E3" s="10" t="s">
        <v>381</v>
      </c>
      <c r="F3" s="10"/>
    </row>
    <row r="4">
      <c r="B4" s="10" t="s">
        <v>378</v>
      </c>
      <c r="C4" s="10" t="s">
        <v>384</v>
      </c>
      <c r="D4" s="10" t="s">
        <v>385</v>
      </c>
      <c r="E4" s="10" t="s">
        <v>381</v>
      </c>
      <c r="F4" s="10"/>
    </row>
    <row r="5">
      <c r="B5" s="10" t="s">
        <v>378</v>
      </c>
      <c r="C5" s="10" t="s">
        <v>386</v>
      </c>
      <c r="D5" s="10" t="s">
        <v>387</v>
      </c>
      <c r="E5" s="10" t="s">
        <v>381</v>
      </c>
      <c r="F5" s="10"/>
    </row>
    <row r="6">
      <c r="B6" s="10" t="s">
        <v>378</v>
      </c>
      <c r="C6" s="10" t="s">
        <v>388</v>
      </c>
      <c r="D6" s="10" t="s">
        <v>389</v>
      </c>
      <c r="E6" s="10" t="s">
        <v>381</v>
      </c>
      <c r="F6" s="10"/>
    </row>
    <row r="7">
      <c r="B7" s="10" t="s">
        <v>378</v>
      </c>
      <c r="C7" s="10" t="s">
        <v>390</v>
      </c>
      <c r="D7" s="10" t="s">
        <v>391</v>
      </c>
      <c r="E7" s="10" t="s">
        <v>381</v>
      </c>
    </row>
    <row r="8">
      <c r="B8" s="10" t="s">
        <v>378</v>
      </c>
      <c r="C8" s="10" t="s">
        <v>392</v>
      </c>
      <c r="D8" s="10" t="s">
        <v>393</v>
      </c>
      <c r="E8" s="10" t="s">
        <v>381</v>
      </c>
    </row>
    <row r="9">
      <c r="B9" s="10" t="s">
        <v>378</v>
      </c>
      <c r="C9" s="10" t="s">
        <v>394</v>
      </c>
      <c r="D9" s="10" t="s">
        <v>395</v>
      </c>
      <c r="E9" s="10" t="s">
        <v>381</v>
      </c>
    </row>
    <row r="10">
      <c r="B10" s="10" t="s">
        <v>378</v>
      </c>
      <c r="C10" s="10" t="s">
        <v>396</v>
      </c>
      <c r="D10" s="10" t="s">
        <v>397</v>
      </c>
      <c r="E10" s="10" t="s">
        <v>381</v>
      </c>
    </row>
    <row r="11">
      <c r="B11" s="10" t="s">
        <v>378</v>
      </c>
      <c r="C11" s="10" t="s">
        <v>398</v>
      </c>
      <c r="D11" s="10" t="s">
        <v>397</v>
      </c>
      <c r="E11" s="10" t="s">
        <v>381</v>
      </c>
    </row>
    <row r="12">
      <c r="B12" s="10" t="s">
        <v>378</v>
      </c>
      <c r="C12" s="10" t="s">
        <v>399</v>
      </c>
      <c r="D12" s="10" t="s">
        <v>400</v>
      </c>
      <c r="E12" s="10" t="s">
        <v>381</v>
      </c>
    </row>
    <row r="13">
      <c r="B13" s="10" t="s">
        <v>378</v>
      </c>
      <c r="C13" s="10" t="s">
        <v>401</v>
      </c>
      <c r="D13" s="10" t="s">
        <v>402</v>
      </c>
      <c r="E13" s="10" t="s">
        <v>381</v>
      </c>
    </row>
    <row r="14">
      <c r="B14" s="10" t="s">
        <v>378</v>
      </c>
      <c r="C14" s="10" t="s">
        <v>403</v>
      </c>
      <c r="D14" s="10" t="s">
        <v>400</v>
      </c>
      <c r="E14" s="10" t="s">
        <v>381</v>
      </c>
    </row>
    <row r="15">
      <c r="B15" s="10" t="s">
        <v>378</v>
      </c>
      <c r="C15" s="10" t="s">
        <v>404</v>
      </c>
      <c r="D15" s="10" t="s">
        <v>405</v>
      </c>
      <c r="E15" s="10" t="s">
        <v>381</v>
      </c>
    </row>
    <row r="16">
      <c r="B16" s="10" t="s">
        <v>378</v>
      </c>
      <c r="C16" s="10" t="s">
        <v>406</v>
      </c>
      <c r="D16" s="10" t="s">
        <v>407</v>
      </c>
      <c r="E16" s="10" t="s">
        <v>381</v>
      </c>
    </row>
    <row r="17">
      <c r="B17" s="10" t="s">
        <v>378</v>
      </c>
      <c r="C17" s="10" t="s">
        <v>408</v>
      </c>
      <c r="D17" s="10" t="s">
        <v>409</v>
      </c>
      <c r="E17" s="10" t="s">
        <v>381</v>
      </c>
    </row>
    <row r="18">
      <c r="B18" s="10" t="s">
        <v>378</v>
      </c>
      <c r="C18" s="10" t="s">
        <v>410</v>
      </c>
      <c r="D18" s="10" t="s">
        <v>411</v>
      </c>
      <c r="E18" s="10" t="s">
        <v>381</v>
      </c>
    </row>
    <row r="19">
      <c r="B19" s="10" t="s">
        <v>378</v>
      </c>
      <c r="C19" s="10" t="s">
        <v>412</v>
      </c>
      <c r="D19" s="10" t="s">
        <v>413</v>
      </c>
      <c r="E19" s="10" t="s">
        <v>381</v>
      </c>
    </row>
    <row r="20">
      <c r="B20" s="10" t="s">
        <v>378</v>
      </c>
      <c r="C20" s="10" t="s">
        <v>414</v>
      </c>
      <c r="D20" s="10" t="s">
        <v>405</v>
      </c>
      <c r="E20" s="10" t="s">
        <v>381</v>
      </c>
    </row>
    <row r="21">
      <c r="B21" s="10" t="s">
        <v>378</v>
      </c>
      <c r="C21" s="10" t="s">
        <v>415</v>
      </c>
      <c r="D21" s="10" t="s">
        <v>416</v>
      </c>
      <c r="E21" s="10" t="s">
        <v>381</v>
      </c>
    </row>
    <row r="22">
      <c r="B22" s="10" t="s">
        <v>378</v>
      </c>
      <c r="C22" s="10" t="s">
        <v>417</v>
      </c>
      <c r="D22" s="10" t="s">
        <v>418</v>
      </c>
      <c r="E22" s="10" t="s">
        <v>381</v>
      </c>
    </row>
    <row r="23">
      <c r="B23" s="10" t="s">
        <v>378</v>
      </c>
      <c r="C23" s="10" t="s">
        <v>419</v>
      </c>
      <c r="D23" s="10" t="s">
        <v>420</v>
      </c>
      <c r="E23" s="10" t="s">
        <v>381</v>
      </c>
    </row>
    <row r="24">
      <c r="B24" s="10" t="s">
        <v>378</v>
      </c>
      <c r="C24" s="10" t="s">
        <v>421</v>
      </c>
      <c r="D24" s="10" t="s">
        <v>422</v>
      </c>
      <c r="E24" s="10" t="s">
        <v>381</v>
      </c>
    </row>
    <row r="25">
      <c r="B25" s="10" t="s">
        <v>378</v>
      </c>
      <c r="C25" s="10" t="s">
        <v>423</v>
      </c>
      <c r="D25" s="10" t="s">
        <v>400</v>
      </c>
      <c r="E25" s="10" t="s">
        <v>381</v>
      </c>
    </row>
    <row r="26">
      <c r="B26" s="10" t="s">
        <v>378</v>
      </c>
      <c r="C26" s="10" t="s">
        <v>424</v>
      </c>
      <c r="D26" s="10" t="s">
        <v>402</v>
      </c>
      <c r="E26" s="10" t="s">
        <v>381</v>
      </c>
    </row>
    <row r="27">
      <c r="B27" s="10" t="s">
        <v>378</v>
      </c>
      <c r="C27" s="10" t="s">
        <v>425</v>
      </c>
      <c r="D27" s="10" t="s">
        <v>426</v>
      </c>
      <c r="E27" s="10" t="s">
        <v>381</v>
      </c>
    </row>
    <row r="28">
      <c r="B28" s="10" t="s">
        <v>378</v>
      </c>
      <c r="C28" s="10" t="s">
        <v>427</v>
      </c>
      <c r="D28" s="10" t="s">
        <v>426</v>
      </c>
      <c r="E28" s="10" t="s">
        <v>381</v>
      </c>
    </row>
    <row r="29">
      <c r="B29" s="10" t="s">
        <v>378</v>
      </c>
      <c r="C29" s="10" t="s">
        <v>428</v>
      </c>
      <c r="D29" s="10" t="s">
        <v>429</v>
      </c>
      <c r="E29" s="10" t="s">
        <v>381</v>
      </c>
    </row>
    <row r="30">
      <c r="B30" s="10" t="s">
        <v>378</v>
      </c>
      <c r="C30" s="10" t="s">
        <v>430</v>
      </c>
      <c r="D30" s="10" t="s">
        <v>431</v>
      </c>
      <c r="E30" s="10" t="s">
        <v>381</v>
      </c>
    </row>
    <row r="31">
      <c r="B31" s="10" t="s">
        <v>378</v>
      </c>
      <c r="C31" s="10" t="s">
        <v>432</v>
      </c>
      <c r="D31" s="10" t="s">
        <v>433</v>
      </c>
      <c r="E31" s="10" t="s">
        <v>381</v>
      </c>
    </row>
    <row r="32">
      <c r="B32" s="10" t="s">
        <v>378</v>
      </c>
      <c r="C32" s="10" t="s">
        <v>434</v>
      </c>
      <c r="D32" s="10" t="s">
        <v>435</v>
      </c>
      <c r="E32" s="10" t="s">
        <v>381</v>
      </c>
    </row>
    <row r="33">
      <c r="B33" s="10" t="s">
        <v>378</v>
      </c>
      <c r="C33" s="10" t="s">
        <v>436</v>
      </c>
      <c r="D33" s="10" t="s">
        <v>437</v>
      </c>
      <c r="E33" s="10" t="s">
        <v>381</v>
      </c>
    </row>
    <row r="34">
      <c r="B34" s="10" t="s">
        <v>378</v>
      </c>
      <c r="C34" s="10" t="s">
        <v>438</v>
      </c>
      <c r="D34" s="10" t="s">
        <v>439</v>
      </c>
      <c r="E34" s="10" t="s">
        <v>381</v>
      </c>
    </row>
    <row r="35">
      <c r="B35" s="10" t="s">
        <v>378</v>
      </c>
      <c r="C35" s="10" t="s">
        <v>440</v>
      </c>
      <c r="D35" s="10" t="s">
        <v>441</v>
      </c>
      <c r="E35" s="10" t="s">
        <v>381</v>
      </c>
    </row>
    <row r="36">
      <c r="B36" s="10" t="s">
        <v>378</v>
      </c>
      <c r="C36" s="10" t="s">
        <v>442</v>
      </c>
      <c r="D36" s="10" t="s">
        <v>443</v>
      </c>
      <c r="E36" s="10" t="s">
        <v>381</v>
      </c>
    </row>
    <row r="37">
      <c r="B37" s="10" t="s">
        <v>378</v>
      </c>
      <c r="C37" s="10" t="s">
        <v>444</v>
      </c>
      <c r="D37" s="10" t="s">
        <v>445</v>
      </c>
      <c r="E37" s="10" t="s">
        <v>381</v>
      </c>
    </row>
    <row r="38">
      <c r="B38" s="10" t="s">
        <v>378</v>
      </c>
      <c r="C38" s="10" t="s">
        <v>446</v>
      </c>
      <c r="D38" s="10" t="s">
        <v>397</v>
      </c>
      <c r="E38" s="10" t="s">
        <v>381</v>
      </c>
    </row>
    <row r="39">
      <c r="B39" s="10" t="s">
        <v>378</v>
      </c>
      <c r="C39" s="10" t="s">
        <v>447</v>
      </c>
      <c r="D39" s="10" t="s">
        <v>448</v>
      </c>
      <c r="E39" s="10" t="s">
        <v>381</v>
      </c>
    </row>
    <row r="40">
      <c r="B40" s="10" t="s">
        <v>378</v>
      </c>
      <c r="C40" s="10" t="s">
        <v>449</v>
      </c>
      <c r="D40" s="10" t="s">
        <v>450</v>
      </c>
      <c r="E40" s="10" t="s">
        <v>381</v>
      </c>
    </row>
    <row r="41">
      <c r="B41" s="10" t="s">
        <v>378</v>
      </c>
      <c r="C41" s="10" t="s">
        <v>451</v>
      </c>
      <c r="D41" s="10" t="s">
        <v>452</v>
      </c>
      <c r="E41" s="10" t="s">
        <v>381</v>
      </c>
    </row>
    <row r="42">
      <c r="B42" s="10" t="s">
        <v>378</v>
      </c>
      <c r="C42" s="10" t="s">
        <v>453</v>
      </c>
      <c r="D42" s="10" t="s">
        <v>454</v>
      </c>
      <c r="E42" s="10" t="s">
        <v>381</v>
      </c>
    </row>
    <row r="43">
      <c r="B43" s="10" t="s">
        <v>378</v>
      </c>
      <c r="C43" s="10" t="s">
        <v>455</v>
      </c>
      <c r="D43" s="10" t="s">
        <v>456</v>
      </c>
      <c r="E43" s="10" t="s">
        <v>381</v>
      </c>
    </row>
    <row r="44">
      <c r="B44" s="10" t="s">
        <v>378</v>
      </c>
      <c r="C44" s="10" t="s">
        <v>457</v>
      </c>
      <c r="D44" s="10" t="s">
        <v>458</v>
      </c>
      <c r="E44" s="10" t="s">
        <v>381</v>
      </c>
    </row>
    <row r="45">
      <c r="B45" s="10" t="s">
        <v>378</v>
      </c>
      <c r="C45" s="10" t="s">
        <v>459</v>
      </c>
      <c r="D45" s="10" t="s">
        <v>460</v>
      </c>
      <c r="E45" s="10" t="s">
        <v>381</v>
      </c>
    </row>
    <row r="46">
      <c r="B46" s="10" t="s">
        <v>378</v>
      </c>
      <c r="C46" s="10" t="s">
        <v>461</v>
      </c>
      <c r="D46" s="10" t="s">
        <v>462</v>
      </c>
      <c r="E46" s="10" t="s">
        <v>463</v>
      </c>
    </row>
    <row r="47">
      <c r="B47" s="10" t="s">
        <v>378</v>
      </c>
      <c r="C47" s="10" t="s">
        <v>464</v>
      </c>
      <c r="D47" s="10" t="s">
        <v>465</v>
      </c>
      <c r="E47" s="10" t="s">
        <v>381</v>
      </c>
    </row>
    <row r="48">
      <c r="B48" s="10" t="s">
        <v>378</v>
      </c>
      <c r="C48" s="10" t="s">
        <v>466</v>
      </c>
      <c r="D48" s="10" t="s">
        <v>467</v>
      </c>
      <c r="E48" s="10" t="s">
        <v>381</v>
      </c>
    </row>
    <row r="49">
      <c r="B49" s="10" t="s">
        <v>378</v>
      </c>
      <c r="C49" s="10" t="s">
        <v>468</v>
      </c>
      <c r="D49" s="10" t="s">
        <v>402</v>
      </c>
      <c r="E49" s="10" t="s">
        <v>381</v>
      </c>
    </row>
    <row r="50">
      <c r="B50" s="10" t="s">
        <v>378</v>
      </c>
      <c r="C50" s="10" t="s">
        <v>469</v>
      </c>
      <c r="D50" s="10" t="s">
        <v>405</v>
      </c>
      <c r="E50" s="10" t="s">
        <v>381</v>
      </c>
    </row>
    <row r="51">
      <c r="B51" s="10" t="s">
        <v>470</v>
      </c>
      <c r="C51" s="10" t="s">
        <v>471</v>
      </c>
      <c r="D51" s="10" t="s">
        <v>472</v>
      </c>
      <c r="E51" s="10" t="s">
        <v>473</v>
      </c>
    </row>
    <row r="52">
      <c r="B52" s="10" t="s">
        <v>470</v>
      </c>
      <c r="C52" s="10" t="s">
        <v>474</v>
      </c>
      <c r="D52" s="10" t="s">
        <v>475</v>
      </c>
      <c r="E52" s="10" t="s">
        <v>476</v>
      </c>
    </row>
    <row r="53">
      <c r="B53" s="10" t="s">
        <v>470</v>
      </c>
      <c r="C53" s="10" t="s">
        <v>477</v>
      </c>
      <c r="D53" s="10" t="s">
        <v>478</v>
      </c>
      <c r="E53" s="10" t="s">
        <v>479</v>
      </c>
    </row>
    <row r="54">
      <c r="B54" s="10" t="s">
        <v>470</v>
      </c>
      <c r="C54" s="10" t="s">
        <v>480</v>
      </c>
      <c r="D54" s="10" t="s">
        <v>481</v>
      </c>
      <c r="E54" s="10" t="s">
        <v>479</v>
      </c>
    </row>
    <row r="55">
      <c r="B55" s="10" t="s">
        <v>470</v>
      </c>
      <c r="C55" s="10" t="s">
        <v>482</v>
      </c>
      <c r="D55" s="10" t="s">
        <v>483</v>
      </c>
      <c r="E55" s="10" t="s">
        <v>484</v>
      </c>
    </row>
    <row r="56">
      <c r="B56" s="10" t="s">
        <v>470</v>
      </c>
      <c r="C56" s="10" t="s">
        <v>485</v>
      </c>
      <c r="D56" s="10" t="s">
        <v>486</v>
      </c>
      <c r="E56" s="10" t="s">
        <v>476</v>
      </c>
    </row>
    <row r="57">
      <c r="B57" s="10" t="s">
        <v>470</v>
      </c>
      <c r="C57" s="10" t="s">
        <v>487</v>
      </c>
      <c r="D57" s="10" t="s">
        <v>488</v>
      </c>
      <c r="E57" s="10" t="s">
        <v>489</v>
      </c>
    </row>
    <row r="58">
      <c r="B58" s="10" t="s">
        <v>470</v>
      </c>
      <c r="C58" s="10" t="s">
        <v>490</v>
      </c>
      <c r="D58" s="10" t="s">
        <v>491</v>
      </c>
      <c r="E58" s="10" t="s">
        <v>381</v>
      </c>
    </row>
    <row r="59">
      <c r="B59" s="10" t="s">
        <v>470</v>
      </c>
      <c r="C59" s="10" t="s">
        <v>492</v>
      </c>
      <c r="D59" s="10" t="s">
        <v>493</v>
      </c>
      <c r="E59" s="10" t="s">
        <v>494</v>
      </c>
    </row>
    <row r="60">
      <c r="B60" s="10" t="s">
        <v>470</v>
      </c>
      <c r="C60" s="10" t="s">
        <v>495</v>
      </c>
      <c r="D60" s="10" t="s">
        <v>496</v>
      </c>
      <c r="E60" s="10" t="s">
        <v>479</v>
      </c>
    </row>
    <row r="61">
      <c r="B61" s="10" t="s">
        <v>470</v>
      </c>
      <c r="C61" s="10" t="s">
        <v>497</v>
      </c>
      <c r="D61" s="10" t="s">
        <v>498</v>
      </c>
      <c r="E61" s="10" t="s">
        <v>494</v>
      </c>
    </row>
    <row r="62">
      <c r="B62" s="10" t="s">
        <v>470</v>
      </c>
      <c r="C62" s="10" t="s">
        <v>499</v>
      </c>
      <c r="D62" s="10" t="s">
        <v>500</v>
      </c>
      <c r="E62" s="10" t="s">
        <v>381</v>
      </c>
    </row>
    <row r="63">
      <c r="B63" s="10" t="s">
        <v>470</v>
      </c>
      <c r="C63" s="10" t="s">
        <v>501</v>
      </c>
      <c r="D63" s="10" t="s">
        <v>502</v>
      </c>
      <c r="E63" s="10" t="s">
        <v>494</v>
      </c>
    </row>
    <row r="64">
      <c r="B64" s="10" t="s">
        <v>470</v>
      </c>
      <c r="C64" s="10" t="s">
        <v>503</v>
      </c>
      <c r="D64" s="10" t="s">
        <v>504</v>
      </c>
      <c r="E64" s="110" t="s">
        <v>463</v>
      </c>
    </row>
    <row r="65">
      <c r="B65" s="10" t="s">
        <v>470</v>
      </c>
      <c r="C65" s="10" t="s">
        <v>505</v>
      </c>
      <c r="D65" s="10" t="s">
        <v>506</v>
      </c>
      <c r="E65" s="10" t="s">
        <v>463</v>
      </c>
    </row>
    <row r="66">
      <c r="B66" s="10" t="s">
        <v>470</v>
      </c>
      <c r="C66" s="10" t="s">
        <v>507</v>
      </c>
      <c r="D66" s="10" t="s">
        <v>508</v>
      </c>
      <c r="E66" s="10" t="s">
        <v>463</v>
      </c>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row r="1004">
      <c r="B1004" s="10"/>
      <c r="C1004" s="10"/>
      <c r="D1004" s="10"/>
    </row>
    <row r="1005">
      <c r="B1005" s="10"/>
      <c r="C1005" s="10"/>
      <c r="D1005" s="10"/>
    </row>
    <row r="1006">
      <c r="B1006" s="10"/>
      <c r="C1006" s="10"/>
      <c r="D1006" s="10"/>
    </row>
    <row r="1007">
      <c r="B1007" s="10"/>
      <c r="C1007" s="10"/>
      <c r="D1007" s="10"/>
    </row>
    <row r="1008">
      <c r="B1008" s="10"/>
      <c r="C1008" s="10"/>
      <c r="D1008" s="10"/>
    </row>
    <row r="1009">
      <c r="B1009" s="10"/>
      <c r="C1009" s="10"/>
      <c r="D1009" s="10"/>
    </row>
    <row r="1010">
      <c r="B1010" s="10"/>
      <c r="C1010" s="10"/>
      <c r="D1010" s="10"/>
    </row>
    <row r="1011">
      <c r="B1011" s="10"/>
      <c r="C1011" s="10"/>
      <c r="D1011" s="10"/>
    </row>
    <row r="1012">
      <c r="B1012" s="10"/>
      <c r="C1012" s="10"/>
      <c r="D1012" s="10"/>
    </row>
    <row r="1013">
      <c r="B1013" s="10"/>
      <c r="C1013" s="10"/>
      <c r="D1013" s="10"/>
    </row>
    <row r="1014">
      <c r="B1014" s="10"/>
      <c r="C1014" s="10"/>
      <c r="D1014" s="10"/>
    </row>
    <row r="1015">
      <c r="B1015" s="10"/>
      <c r="C1015" s="10"/>
      <c r="D1015" s="10"/>
    </row>
    <row r="1016">
      <c r="B1016" s="10"/>
      <c r="C1016" s="10"/>
      <c r="D1016" s="10"/>
    </row>
    <row r="1017">
      <c r="B1017" s="10"/>
      <c r="C1017" s="10"/>
      <c r="D1017" s="10"/>
    </row>
    <row r="1018">
      <c r="B1018" s="10"/>
      <c r="C1018" s="10"/>
      <c r="D1018" s="10"/>
    </row>
    <row r="1019">
      <c r="B1019" s="10"/>
      <c r="C1019" s="10"/>
      <c r="D1019" s="10"/>
    </row>
    <row r="1020">
      <c r="B1020" s="10"/>
      <c r="C1020" s="10"/>
      <c r="D1020" s="10"/>
    </row>
    <row r="1021">
      <c r="B1021" s="10"/>
      <c r="C1021" s="10"/>
      <c r="D1021" s="10"/>
    </row>
    <row r="1022">
      <c r="B1022" s="10"/>
      <c r="C1022" s="10"/>
      <c r="D1022" s="10"/>
    </row>
    <row r="1023">
      <c r="B1023" s="10"/>
      <c r="C1023" s="10"/>
      <c r="D1023" s="10"/>
    </row>
    <row r="1024">
      <c r="B1024" s="10"/>
      <c r="C1024" s="10"/>
      <c r="D1024" s="10"/>
    </row>
    <row r="1025">
      <c r="B1025" s="10"/>
      <c r="C1025" s="10"/>
      <c r="D1025" s="10"/>
    </row>
    <row r="1026">
      <c r="B1026" s="10"/>
      <c r="C1026" s="10"/>
      <c r="D1026" s="10"/>
    </row>
    <row r="1027">
      <c r="B1027" s="10"/>
      <c r="C1027" s="10"/>
      <c r="D1027" s="10"/>
    </row>
    <row r="1028">
      <c r="B1028" s="10"/>
      <c r="C1028" s="10"/>
      <c r="D1028" s="10"/>
    </row>
    <row r="1029">
      <c r="B1029" s="10"/>
      <c r="C1029" s="10"/>
      <c r="D1029" s="10"/>
    </row>
    <row r="1030">
      <c r="B1030" s="10"/>
      <c r="C1030" s="10"/>
      <c r="D1030" s="10"/>
    </row>
    <row r="1031">
      <c r="B1031" s="10"/>
      <c r="C1031" s="10"/>
      <c r="D1031" s="10"/>
    </row>
    <row r="1032">
      <c r="B1032" s="10"/>
      <c r="C1032" s="10"/>
      <c r="D1032" s="10"/>
    </row>
    <row r="1033">
      <c r="B1033" s="10"/>
      <c r="C1033" s="10"/>
      <c r="D1033" s="10"/>
    </row>
    <row r="1034">
      <c r="B1034" s="10"/>
      <c r="C1034" s="10"/>
      <c r="D1034" s="10"/>
    </row>
    <row r="1035">
      <c r="B1035" s="10"/>
      <c r="C1035" s="10"/>
      <c r="D1035" s="10"/>
    </row>
    <row r="1036">
      <c r="B1036" s="10"/>
      <c r="C1036" s="10"/>
      <c r="D1036" s="10"/>
    </row>
    <row r="1037">
      <c r="B1037" s="10"/>
      <c r="C1037" s="10"/>
      <c r="D1037" s="10"/>
    </row>
    <row r="1038">
      <c r="B1038" s="10"/>
      <c r="C1038" s="10"/>
      <c r="D1038" s="10"/>
    </row>
    <row r="1039">
      <c r="B1039" s="10"/>
      <c r="C1039" s="10"/>
      <c r="D1039" s="10"/>
    </row>
    <row r="1040">
      <c r="B1040" s="10"/>
      <c r="C1040" s="10"/>
      <c r="D1040" s="10"/>
    </row>
    <row r="1041">
      <c r="B1041" s="10"/>
      <c r="C1041" s="10"/>
      <c r="D1041" s="10"/>
    </row>
    <row r="1042">
      <c r="B1042" s="10"/>
      <c r="C1042" s="10"/>
      <c r="D1042" s="10"/>
    </row>
    <row r="1043">
      <c r="B1043" s="10"/>
      <c r="C1043" s="10"/>
      <c r="D1043" s="10"/>
    </row>
    <row r="1044">
      <c r="B1044" s="10"/>
      <c r="C1044" s="10"/>
      <c r="D1044" s="10"/>
    </row>
    <row r="1045">
      <c r="B1045" s="10"/>
      <c r="C1045" s="10"/>
      <c r="D1045" s="10"/>
    </row>
    <row r="1046">
      <c r="B1046" s="10"/>
      <c r="C1046" s="10"/>
      <c r="D1046" s="10"/>
    </row>
    <row r="1047">
      <c r="B1047" s="10"/>
      <c r="C1047" s="10"/>
      <c r="D1047" s="10"/>
    </row>
    <row r="1048">
      <c r="B1048" s="10"/>
      <c r="C1048" s="10"/>
      <c r="D1048" s="10"/>
    </row>
    <row r="1049">
      <c r="B1049" s="10"/>
      <c r="C1049" s="10"/>
      <c r="D1049" s="10"/>
    </row>
    <row r="1050">
      <c r="B1050" s="10"/>
      <c r="C1050" s="10"/>
      <c r="D1050" s="10"/>
    </row>
    <row r="1051">
      <c r="B1051" s="10"/>
      <c r="C1051" s="10"/>
      <c r="D1051" s="10"/>
    </row>
    <row r="1052">
      <c r="B1052" s="10"/>
      <c r="C1052" s="10"/>
      <c r="D1052" s="10"/>
    </row>
    <row r="1053">
      <c r="B1053" s="10"/>
      <c r="C1053" s="10"/>
      <c r="D1053" s="10"/>
    </row>
    <row r="1054">
      <c r="B1054" s="10"/>
      <c r="C1054" s="10"/>
      <c r="D1054" s="10"/>
    </row>
    <row r="1055">
      <c r="B1055" s="10"/>
      <c r="C1055" s="10"/>
      <c r="D1055" s="10"/>
    </row>
    <row r="1056">
      <c r="B1056" s="10"/>
      <c r="C1056" s="10"/>
      <c r="D1056" s="10"/>
    </row>
    <row r="1057">
      <c r="B1057" s="10"/>
      <c r="C1057" s="10"/>
      <c r="D1057" s="10"/>
    </row>
    <row r="1058">
      <c r="B1058" s="10"/>
      <c r="C1058" s="10"/>
      <c r="D1058" s="10"/>
    </row>
    <row r="1059">
      <c r="B1059" s="10"/>
      <c r="C1059" s="10"/>
      <c r="D1059" s="10"/>
    </row>
    <row r="1060">
      <c r="B1060" s="10"/>
      <c r="C1060" s="10"/>
      <c r="D1060" s="10"/>
    </row>
    <row r="1061">
      <c r="B1061" s="10"/>
      <c r="C1061" s="10"/>
      <c r="D1061" s="10"/>
    </row>
    <row r="1062">
      <c r="B1062" s="10"/>
      <c r="C1062" s="10"/>
      <c r="D1062" s="10"/>
    </row>
    <row r="1063">
      <c r="B1063" s="10"/>
      <c r="C1063" s="10"/>
      <c r="D1063" s="10"/>
    </row>
    <row r="1064">
      <c r="B1064" s="10"/>
      <c r="C1064" s="10"/>
      <c r="D1064" s="10"/>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1" t="str">
        <f>'Project Team'!A1</f>
        <v>Last Name</v>
      </c>
      <c r="B1" s="111" t="str">
        <f>'Project Team'!B1</f>
        <v>First Name</v>
      </c>
      <c r="C1" s="112" t="s">
        <v>509</v>
      </c>
      <c r="D1" s="113"/>
      <c r="E1" s="114"/>
      <c r="F1" s="115"/>
      <c r="G1" s="116"/>
      <c r="H1" s="116"/>
    </row>
    <row r="2">
      <c r="A2" s="117" t="str">
        <f>'Project Team'!A2</f>
        <v>Brüggemann</v>
      </c>
      <c r="B2" s="117" t="str">
        <f>'Project Team'!B2</f>
        <v>Jonas</v>
      </c>
      <c r="C2" s="118">
        <v>0.0</v>
      </c>
      <c r="D2" s="119"/>
      <c r="E2" s="120">
        <f>average(C2:C10)</f>
        <v>0</v>
      </c>
      <c r="F2" s="121" t="str">
        <f>if(stdev(C2:C7) &gt; 0,"NOK", "OK")</f>
        <v>OK</v>
      </c>
      <c r="G2" s="122"/>
      <c r="H2" s="122"/>
    </row>
    <row r="3">
      <c r="A3" s="123" t="s">
        <v>510</v>
      </c>
      <c r="B3" s="123" t="s">
        <v>55</v>
      </c>
      <c r="C3" s="118">
        <v>0.0</v>
      </c>
      <c r="D3" s="124"/>
      <c r="G3" s="125"/>
      <c r="H3" s="125"/>
    </row>
    <row r="4">
      <c r="A4" s="117" t="str">
        <f>'Project Team'!A3</f>
        <v>Ebied</v>
      </c>
      <c r="B4" s="117" t="str">
        <f>'Project Team'!B3</f>
        <v>Andrew</v>
      </c>
      <c r="C4" s="126"/>
      <c r="D4" s="119"/>
      <c r="G4" s="122"/>
      <c r="H4" s="122"/>
    </row>
    <row r="5">
      <c r="A5" s="127" t="str">
        <f>'Project Team'!A4</f>
        <v>Vinzens</v>
      </c>
      <c r="B5" s="127" t="str">
        <f>'Project Team'!B4</f>
        <v>Hannes</v>
      </c>
      <c r="C5" s="128"/>
      <c r="D5" s="129"/>
      <c r="E5" s="129"/>
      <c r="F5" s="129"/>
      <c r="G5" s="125"/>
      <c r="H5" s="125"/>
    </row>
    <row r="6">
      <c r="A6" s="117" t="str">
        <f>'Project Team'!A5</f>
        <v>Ahmed</v>
      </c>
      <c r="B6" s="117" t="str">
        <f>'Project Team'!B5</f>
        <v>Hasnat</v>
      </c>
      <c r="C6" s="126"/>
      <c r="D6" s="130"/>
      <c r="E6" s="131">
        <v>0.0</v>
      </c>
      <c r="F6" s="132" t="s">
        <v>511</v>
      </c>
      <c r="G6" s="122"/>
      <c r="H6" s="122"/>
    </row>
    <row r="7">
      <c r="A7" s="123" t="s">
        <v>50</v>
      </c>
      <c r="B7" s="123" t="s">
        <v>51</v>
      </c>
      <c r="C7" s="126"/>
      <c r="D7" s="129"/>
      <c r="E7" s="131">
        <v>1.0</v>
      </c>
      <c r="F7" s="132" t="s">
        <v>512</v>
      </c>
      <c r="G7" s="125"/>
      <c r="H7" s="125"/>
    </row>
    <row r="8">
      <c r="A8" s="117" t="str">
        <f>'Project Team'!A7</f>
        <v>Sandt</v>
      </c>
      <c r="B8" s="117" t="str">
        <f>'Project Team'!B7</f>
        <v>Eloi</v>
      </c>
      <c r="C8" s="128"/>
      <c r="D8" s="130"/>
      <c r="E8" s="131">
        <v>2.0</v>
      </c>
      <c r="F8" s="132" t="s">
        <v>513</v>
      </c>
      <c r="G8" s="122"/>
      <c r="H8" s="122"/>
    </row>
    <row r="9">
      <c r="A9" s="127" t="str">
        <f>'Project Team'!A6</f>
        <v>Busse</v>
      </c>
      <c r="B9" s="127" t="str">
        <f>'Project Team'!B6</f>
        <v>Tobias</v>
      </c>
      <c r="C9" s="128"/>
      <c r="D9" s="129"/>
      <c r="E9" s="131">
        <v>3.0</v>
      </c>
      <c r="F9" s="132" t="s">
        <v>514</v>
      </c>
      <c r="G9" s="125"/>
      <c r="H9" s="125"/>
    </row>
    <row r="10">
      <c r="A10" s="117" t="str">
        <f>'Project Team'!A9</f>
        <v>Zeeshan</v>
      </c>
      <c r="B10" s="117" t="str">
        <f>'Project Team'!B9</f>
        <v>Muhamad</v>
      </c>
      <c r="C10" s="128"/>
      <c r="D10" s="130"/>
      <c r="E10" s="131">
        <v>5.0</v>
      </c>
      <c r="F10" s="132" t="s">
        <v>515</v>
      </c>
      <c r="G10" s="122"/>
      <c r="H10" s="122"/>
    </row>
    <row r="11">
      <c r="A11" s="127" t="str">
        <f>'Project Team'!A10</f>
        <v>Haseeb</v>
      </c>
      <c r="B11" s="127" t="str">
        <f>'Project Team'!B10</f>
        <v>Abdul</v>
      </c>
      <c r="C11" s="126"/>
      <c r="D11" s="129"/>
      <c r="E11" s="131">
        <v>8.0</v>
      </c>
      <c r="F11" s="132" t="s">
        <v>516</v>
      </c>
      <c r="G11" s="125"/>
      <c r="H11" s="125"/>
    </row>
    <row r="12">
      <c r="A12" s="117"/>
      <c r="B12" s="117"/>
      <c r="C12" s="126"/>
      <c r="D12" s="130"/>
      <c r="E12" s="131">
        <v>13.0</v>
      </c>
      <c r="F12" s="132" t="s">
        <v>517</v>
      </c>
      <c r="G12" s="122"/>
      <c r="H12" s="122"/>
    </row>
    <row r="13">
      <c r="A13" s="127"/>
      <c r="B13" s="127"/>
      <c r="C13" s="129"/>
      <c r="D13" s="129"/>
      <c r="E13" s="129"/>
      <c r="F13" s="129"/>
      <c r="G13" s="125"/>
      <c r="H13" s="125"/>
    </row>
    <row r="14">
      <c r="A14" s="133" t="s">
        <v>518</v>
      </c>
      <c r="B14" s="134"/>
      <c r="C14" s="134"/>
      <c r="D14" s="134"/>
      <c r="E14" s="134"/>
      <c r="F14" s="134"/>
      <c r="G14" s="134"/>
      <c r="H14" s="134"/>
    </row>
    <row r="15">
      <c r="A15" s="135"/>
      <c r="B15" s="135"/>
      <c r="C15" s="135"/>
      <c r="D15" s="135"/>
      <c r="E15" s="135"/>
      <c r="F15" s="135"/>
      <c r="G15" s="135"/>
      <c r="H15" s="135"/>
    </row>
    <row r="16">
      <c r="A16" s="136" t="s">
        <v>519</v>
      </c>
      <c r="B16" s="137"/>
      <c r="C16" s="137"/>
      <c r="D16" s="137"/>
      <c r="E16" s="137"/>
      <c r="F16" s="137"/>
      <c r="G16" s="137"/>
      <c r="H16" s="137"/>
    </row>
    <row r="17">
      <c r="A17" s="138" t="s">
        <v>520</v>
      </c>
      <c r="B17" s="135"/>
      <c r="C17" s="135"/>
      <c r="D17" s="135"/>
      <c r="E17" s="135"/>
      <c r="F17" s="135"/>
      <c r="G17" s="135"/>
      <c r="H17" s="135"/>
    </row>
    <row r="18">
      <c r="A18" s="136" t="s">
        <v>521</v>
      </c>
      <c r="B18" s="137"/>
      <c r="C18" s="137"/>
      <c r="D18" s="137"/>
      <c r="E18" s="137"/>
      <c r="F18" s="137"/>
      <c r="G18" s="137"/>
      <c r="H18" s="137"/>
    </row>
    <row r="19">
      <c r="A19" s="135"/>
      <c r="B19" s="135"/>
      <c r="C19" s="135"/>
      <c r="D19" s="135"/>
      <c r="E19" s="135"/>
      <c r="F19" s="135"/>
      <c r="G19" s="135"/>
      <c r="H19" s="135"/>
    </row>
    <row r="20">
      <c r="A20" s="137"/>
      <c r="B20" s="137"/>
      <c r="C20" s="137"/>
      <c r="D20" s="137"/>
      <c r="E20" s="137"/>
      <c r="F20" s="137"/>
      <c r="G20" s="137"/>
      <c r="H20" s="13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