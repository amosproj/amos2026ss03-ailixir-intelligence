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4"/>
    <sheet state="visible" name="Project Team" sheetId="2" r:id="rId5"/>
    <sheet state="visible" name="Role Assignments" sheetId="3" r:id="rId6"/>
    <sheet state="visible" name="Team Contract" sheetId="4" r:id="rId7"/>
    <sheet state="visible" name="Product Goal" sheetId="5" r:id="rId8"/>
    <sheet state="visible" name="Product Glossary" sheetId="6" r:id="rId9"/>
    <sheet state="visible" name="Sprint Goals" sheetId="7" r:id="rId10"/>
    <sheet state="visible" name="Velocity Tracking" sheetId="8" r:id="rId11"/>
    <sheet state="visible" name="Mid-Project Release plan" sheetId="9" r:id="rId12"/>
    <sheet state="visible" name="Final Project Release plan" sheetId="10" r:id="rId13"/>
    <sheet state="visible" name="Definition of Done" sheetId="11" r:id="rId14"/>
    <sheet state="visible" name="Documentation" sheetId="12" r:id="rId15"/>
    <sheet state="visible" name="Bill of Materials" sheetId="13" r:id="rId16"/>
    <sheet state="visible" name="Planning Poker" sheetId="14" r:id="rId17"/>
  </sheets>
  <definedNames/>
  <calcPr/>
</workbook>
</file>

<file path=xl/sharedStrings.xml><?xml version="1.0" encoding="utf-8"?>
<sst xmlns="http://schemas.openxmlformats.org/spreadsheetml/2006/main" count="439" uniqueCount="264">
  <si>
    <t>Project Name</t>
  </si>
  <si>
    <t>AIlixir Intelligence</t>
  </si>
  <si>
    <t>Online team meeting</t>
  </si>
  <si>
    <t>https://tu-berlin.zoom-x.de/j/68161739941?pwd=Tz3duoAQeQHGWAsBNMexRqNxlnSPCI.1</t>
  </si>
  <si>
    <t>Production system (if any)</t>
  </si>
  <si>
    <t>...</t>
  </si>
  <si>
    <t>Test system (if any)</t>
  </si>
  <si>
    <t>GitHub repository</t>
  </si>
  <si>
    <t>https://github.com/amosproj/amos2026ss03-ailixir-intelligence</t>
  </si>
  <si>
    <t>GitHub feature board</t>
  </si>
  <si>
    <t>https://github.com/orgs/amosproj/projects/99</t>
  </si>
  <si>
    <t>GitHub imp-squared backlog</t>
  </si>
  <si>
    <t>https://github.com/orgs/amosproj/projects/103/views/1</t>
  </si>
  <si>
    <t>Position of T-shirt logo</t>
  </si>
  <si>
    <t>Upper Torso Right Small</t>
  </si>
  <si>
    <t>Link to logo for black T-shirt</t>
  </si>
  <si>
    <t>https://www.shirtinator.com/s/w1QJzfDfTC-gGBjVmnCscg</t>
  </si>
  <si>
    <t>Link to logo for white T-shirt</t>
  </si>
  <si>
    <t>https://www.shirtinator.com/s/sMNil0MoQzmuNuc04Y6Ljw</t>
  </si>
  <si>
    <t>Additional materials</t>
  </si>
  <si>
    <t>Team maling list</t>
  </si>
  <si>
    <t>oss-amos-proj3@lists.fau.de</t>
  </si>
  <si>
    <t>Last Name</t>
  </si>
  <si>
    <t>First Name</t>
  </si>
  <si>
    <t>GitHub User Name</t>
  </si>
  <si>
    <t>Email Address</t>
  </si>
  <si>
    <t>Brüggemann</t>
  </si>
  <si>
    <t>Jonas</t>
  </si>
  <si>
    <t>jonasbrue</t>
  </si>
  <si>
    <t>jonas.brueggemann@campus.tu-berlin.de</t>
  </si>
  <si>
    <t>Ebied</t>
  </si>
  <si>
    <t>Andrew</t>
  </si>
  <si>
    <t>andrewluka</t>
  </si>
  <si>
    <t>a.ebied@campus.tu-berlin.de</t>
  </si>
  <si>
    <t>Vinzens</t>
  </si>
  <si>
    <t>Hannes</t>
  </si>
  <si>
    <t>hannes-v</t>
  </si>
  <si>
    <t>hannes.vinzens@fau.de</t>
  </si>
  <si>
    <t>Ahmed</t>
  </si>
  <si>
    <t>Hasnat</t>
  </si>
  <si>
    <t>hasnatahmed331</t>
  </si>
  <si>
    <t>hasnat.ahmed@fau.de</t>
  </si>
  <si>
    <t>Busse</t>
  </si>
  <si>
    <t>Tobias</t>
  </si>
  <si>
    <t>aseuc</t>
  </si>
  <si>
    <t>tobias.t.busse@fau.de</t>
  </si>
  <si>
    <t>Sandt</t>
  </si>
  <si>
    <t>Eloi</t>
  </si>
  <si>
    <t>eloinoel</t>
  </si>
  <si>
    <t>eloi.sandt@campus.tu-berlin.de</t>
  </si>
  <si>
    <t>Amer</t>
  </si>
  <si>
    <t>Hossam</t>
  </si>
  <si>
    <t>Hossam-Amer</t>
  </si>
  <si>
    <t>hossam.amer@fau.de</t>
  </si>
  <si>
    <t>Zeeshan</t>
  </si>
  <si>
    <t>Muhamad</t>
  </si>
  <si>
    <t>MuhammadZeeshan2</t>
  </si>
  <si>
    <t>sharif.zeeshan@fau.de</t>
  </si>
  <si>
    <t>Haseeb</t>
  </si>
  <si>
    <t>Abdul</t>
  </si>
  <si>
    <t>AbdulHaseeb-SE</t>
  </si>
  <si>
    <t>abdul.ah.haseeb@fau.de</t>
  </si>
  <si>
    <t>Vogt</t>
  </si>
  <si>
    <t>Marcel</t>
  </si>
  <si>
    <t>VogtIndustries</t>
  </si>
  <si>
    <t>marcel.vogt@campus.tu-berlin.de</t>
  </si>
  <si>
    <t>Product Owner</t>
  </si>
  <si>
    <t>#</t>
  </si>
  <si>
    <t>Meeting Day</t>
  </si>
  <si>
    <t>Review</t>
  </si>
  <si>
    <t>Planning</t>
  </si>
  <si>
    <t>Software Developer</t>
  </si>
  <si>
    <t>Release Manager</t>
  </si>
  <si>
    <t>Scrum Master</t>
  </si>
  <si>
    <t>Comment</t>
  </si>
  <si>
    <t>Everyone else</t>
  </si>
  <si>
    <t>N/A</t>
  </si>
  <si>
    <t>COACH student</t>
  </si>
  <si>
    <t>Andrew Ebied</t>
  </si>
  <si>
    <t>Hasnat Ahmed</t>
  </si>
  <si>
    <t>Hossam Amer</t>
  </si>
  <si>
    <t>Muhamad Zeeshan</t>
  </si>
  <si>
    <t>Hannes Vinzens</t>
  </si>
  <si>
    <t>Marcel Vogt</t>
  </si>
  <si>
    <t>Abdul Haseeb</t>
  </si>
  <si>
    <t>/</t>
  </si>
  <si>
    <t>Demo day!</t>
  </si>
  <si>
    <t>Retrospective</t>
  </si>
  <si>
    <t>Product owners, software developers, and Scurm Master are set and ideally don't change over time; the critical part is the Release Manager role you need to define here</t>
  </si>
  <si>
    <t>Goals</t>
  </si>
  <si>
    <t xml:space="preserve">Deliver MVP </t>
  </si>
  <si>
    <t>mutual and personal improvement</t>
  </si>
  <si>
    <t xml:space="preserve">deliver a maintainable prototype that can be potentially used as a starting point for the industry partner </t>
  </si>
  <si>
    <t>Meeting norms</t>
  </si>
  <si>
    <t>Meeting Should stick to deliverables.</t>
  </si>
  <si>
    <t>maybe once or twice per week. for each meeting, a document should be made that includes the points which we will go over. the document could be edited by anyone in case anyone has points they want to discuss in the meeting, although this might be particularly useful for POs.</t>
  </si>
  <si>
    <t>write an email in case you will be late/unable to attend team meetings</t>
  </si>
  <si>
    <t>be on time</t>
  </si>
  <si>
    <t>mute yourself in calls if you don't talk</t>
  </si>
  <si>
    <t>Protocol industry partner meetings</t>
  </si>
  <si>
    <t>Team Meeting starts at 12 (30 minutes earlier)</t>
  </si>
  <si>
    <t>Working norms</t>
  </si>
  <si>
    <t>deciding on a release manager should be part of the team meetings</t>
  </si>
  <si>
    <t>Would be cool if we could give an estimate of when we will be available to work, and if possible, also specify on which issues and till when we expect to be finished with them. in case of delays, i think they should be communicated as well so that the team gets a rough idea of when they could be done or if help is needed from other people</t>
  </si>
  <si>
    <t>SDs can self-assign issues at will; if that doesn't work out, issues will be assigned during team meetings</t>
  </si>
  <si>
    <t>Coding (style) guidelines, common AI agent setup, CI/CD linting/formating checks</t>
  </si>
  <si>
    <t>Documentation (how to run + code comments)</t>
  </si>
  <si>
    <t>Testing the written code/feature. All tests should pass before merging to main/master</t>
  </si>
  <si>
    <t>git flow strategy for working on code</t>
  </si>
  <si>
    <t>Definition of Done (DoD) A checklist of criteria (e.g. tests passed, code reviewed, documentation updated) that must be met before an issue is considered finished</t>
  </si>
  <si>
    <t>Definition of Ready (DoR); whether or not devs have enough capacity to take on an issue and finish it in time</t>
  </si>
  <si>
    <t>Pull Requests need to be reviewed and approved by at least one other developer</t>
  </si>
  <si>
    <t>Coordination norms</t>
  </si>
  <si>
    <t>Bigger decisions will be put to vote (ideally on slack)</t>
  </si>
  <si>
    <t>Work should be distributed with clear boundaries.</t>
  </si>
  <si>
    <t>use feature board actively and communicate with other people to coordinate work</t>
  </si>
  <si>
    <t>Communication norms</t>
  </si>
  <si>
    <t>replies within ~24h</t>
  </si>
  <si>
    <t>would also be cool if people communicate if they are unable to reply within 24h, with an estimate of when they will reply</t>
  </si>
  <si>
    <t>Communication with the industry partner over Slack</t>
  </si>
  <si>
    <t>it would also be nice to have dedicated communication channels for the team internally and with the industry partner. another dedicated channel for SDs as well</t>
  </si>
  <si>
    <t>agree on one main channel of communication: Slack</t>
  </si>
  <si>
    <t>Respect, active listening, tolerance</t>
  </si>
  <si>
    <t>Consideration norms</t>
  </si>
  <si>
    <t>Respect, Communicate Conflicts</t>
  </si>
  <si>
    <t>be kind and be cooperative</t>
  </si>
  <si>
    <t>Cont. improvement norms</t>
  </si>
  <si>
    <t>constructive criticism</t>
  </si>
  <si>
    <t>open feedback about things that could be improved</t>
  </si>
  <si>
    <t>Rewards</t>
  </si>
  <si>
    <t>eat ice cream together at the end of the course</t>
  </si>
  <si>
    <t>Sanctions</t>
  </si>
  <si>
    <t>gets brought up in the meeting</t>
  </si>
  <si>
    <t>Signatures</t>
  </si>
  <si>
    <t>Jonas Brüggemann</t>
  </si>
  <si>
    <t>Product owner</t>
  </si>
  <si>
    <t>Eloi Sandt</t>
  </si>
  <si>
    <t>Tobias Busse</t>
  </si>
  <si>
    <t>Software developer</t>
  </si>
  <si>
    <t>Muhammad Zeeshan</t>
  </si>
  <si>
    <t>Product Vision</t>
  </si>
  <si>
    <t>Project Mission</t>
  </si>
  <si>
    <t>The reason of existence of the envisioned product (beyond this project).</t>
  </si>
  <si>
    <t>Term</t>
  </si>
  <si>
    <t>Definition</t>
  </si>
  <si>
    <t>Sprint #</t>
  </si>
  <si>
    <t>Sprint goal</t>
  </si>
  <si>
    <t>None</t>
  </si>
  <si>
    <t>Optional</t>
  </si>
  <si>
    <t>Write your sprint goal here</t>
  </si>
  <si>
    <t>Story Points Realized</t>
  </si>
  <si>
    <t>PLEASE CREATE THE VELOCITY CHART ON A NEW TAB USING THE DATA FROM THIS TAB</t>
  </si>
  <si>
    <t>Sprint</t>
  </si>
  <si>
    <t>Goal</t>
  </si>
  <si>
    <t>Feature Name</t>
  </si>
  <si>
    <t>Est. size</t>
  </si>
  <si>
    <t>Est. remaining</t>
  </si>
  <si>
    <t>Real size</t>
  </si>
  <si>
    <t>Real remaining</t>
  </si>
  <si>
    <t>Release</t>
  </si>
  <si>
    <t>Total</t>
  </si>
  <si>
    <t>Sprints</t>
  </si>
  <si>
    <t>Estimated burn-down</t>
  </si>
  <si>
    <t>Real burn-down</t>
  </si>
  <si>
    <t>Features</t>
  </si>
  <si>
    <t>PLEASE CREATE THE BURNDOWN CHART ON A NEW TAB USING THE DATA FROM THIS TAB</t>
  </si>
  <si>
    <t>Feature Definition of Done</t>
  </si>
  <si>
    <t>Sprint Release Definition of Done</t>
  </si>
  <si>
    <t>Project Release Definition of Done</t>
  </si>
  <si>
    <t>Type</t>
  </si>
  <si>
    <t>Link / reference</t>
  </si>
  <si>
    <t>Context</t>
  </si>
  <si>
    <t>Name</t>
  </si>
  <si>
    <t>Version</t>
  </si>
  <si>
    <t>License</t>
  </si>
  <si>
    <t>frontend</t>
  </si>
  <si>
    <t>@react-navigation/bottom-tabs</t>
  </si>
  <si>
    <t>^7.15.5</t>
  </si>
  <si>
    <t>MIT</t>
  </si>
  <si>
    <t>also counts for all expo subpackages</t>
  </si>
  <si>
    <t>@react-navigation/elements</t>
  </si>
  <si>
    <t>^2.9.10</t>
  </si>
  <si>
    <t>@react-navigation/native</t>
  </si>
  <si>
    <t>^7.1.33</t>
  </si>
  <si>
    <t>@tamagui/config</t>
  </si>
  <si>
    <t>^2.0.0-rc.41</t>
  </si>
  <si>
    <t>@tamagui/lucide-icons-2</t>
  </si>
  <si>
    <t>expo</t>
  </si>
  <si>
    <t>~55.0.15</t>
  </si>
  <si>
    <t>expo-constants</t>
  </si>
  <si>
    <t>~55.0.14</t>
  </si>
  <si>
    <t>expo-device</t>
  </si>
  <si>
    <t>expo-document-picker</t>
  </si>
  <si>
    <t>~55.0.13</t>
  </si>
  <si>
    <t>expo-font</t>
  </si>
  <si>
    <t>~55.0.6</t>
  </si>
  <si>
    <t>expo-glass-effect</t>
  </si>
  <si>
    <t>~55.0.10</t>
  </si>
  <si>
    <t>expo-image</t>
  </si>
  <si>
    <t>~55.0.8</t>
  </si>
  <si>
    <t>expo-image-picker</t>
  </si>
  <si>
    <t>~55.0.20</t>
  </si>
  <si>
    <t>expo-linking</t>
  </si>
  <si>
    <t>expo-router</t>
  </si>
  <si>
    <t>~55.0.12</t>
  </si>
  <si>
    <t>expo-splash-screen</t>
  </si>
  <si>
    <t>~55.0.18</t>
  </si>
  <si>
    <t>expo-status-bar</t>
  </si>
  <si>
    <t>~55.0.5</t>
  </si>
  <si>
    <t>expo-symbols</t>
  </si>
  <si>
    <t>~55.0.7</t>
  </si>
  <si>
    <t>expo-system-ui</t>
  </si>
  <si>
    <t>expo-web-browser</t>
  </si>
  <si>
    <t>react</t>
  </si>
  <si>
    <t>19.2.0</t>
  </si>
  <si>
    <t>react-dom</t>
  </si>
  <si>
    <t>react-hook-form</t>
  </si>
  <si>
    <t>^7.73.1</t>
  </si>
  <si>
    <t>react-native</t>
  </si>
  <si>
    <t>0.83.4</t>
  </si>
  <si>
    <t>react-native-gesture-handler</t>
  </si>
  <si>
    <t>~2.30.0</t>
  </si>
  <si>
    <t>react-native-reanimated</t>
  </si>
  <si>
    <t>4.2.1</t>
  </si>
  <si>
    <t>react-native-safe-area-context</t>
  </si>
  <si>
    <t>~5.6.2</t>
  </si>
  <si>
    <t>react-native-screens</t>
  </si>
  <si>
    <t>~4.23.0</t>
  </si>
  <si>
    <t>react-native-svg</t>
  </si>
  <si>
    <t>15.15.3</t>
  </si>
  <si>
    <t>react-native-web</t>
  </si>
  <si>
    <t>~0.21.0</t>
  </si>
  <si>
    <t>react-native-worklets</t>
  </si>
  <si>
    <t>0.7.2</t>
  </si>
  <si>
    <t>tamagui</t>
  </si>
  <si>
    <t>@types/react</t>
  </si>
  <si>
    <t>~19.2.2</t>
  </si>
  <si>
    <t>eslint</t>
  </si>
  <si>
    <t>^9.0.0</t>
  </si>
  <si>
    <t>eslint-config-expo</t>
  </si>
  <si>
    <t>~55.0.0</t>
  </si>
  <si>
    <t>eslint-config-prettier</t>
  </si>
  <si>
    <t>^10.1.8</t>
  </si>
  <si>
    <t>eslint-config-universe</t>
  </si>
  <si>
    <t>^15.0.3</t>
  </si>
  <si>
    <t>eslint-plugin-prettier</t>
  </si>
  <si>
    <t>^5.5.5</t>
  </si>
  <si>
    <t>prettier</t>
  </si>
  <si>
    <t>^3.8.3</t>
  </si>
  <si>
    <t>typescript</t>
  </si>
  <si>
    <t>~5.9.2</t>
  </si>
  <si>
    <t>Apache-2.0</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</si>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</sst>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0">
    <font>
      <sz val="10.0"/>
      <color rgb="FF000000"/>
      <name val="Arial"/>
    </font>
    <font>
      <b/>
    </font>
    <font/>
    <font>
      <u/>
      <color rgb="FF0000FF"/>
    </font>
    <font>
      <u/>
      <color rgb="FF0000FF"/>
    </font>
    <font>
      <name val="Arial"/>
    </font>
    <font>
      <b/>
      <name val="Arial"/>
    </font>
    <font>
      <sz val="8.0"/>
      <color rgb="FF1F1F1F"/>
      <name val="&quot;Google Sans&quot;"/>
    </font>
    <font>
      <color rgb="FFFFFFFF"/>
      <name val="Arial"/>
    </font>
    <font>
      <b/>
      <sz val="24.0"/>
      <name val="Arial"/>
    </font>
  </fonts>
  <fills count="9">
    <fill>
      <patternFill patternType="none"/>
    </fill>
    <fill>
      <patternFill patternType="lightGray"/>
    </fill>
    <fill>
      <patternFill patternType="solid">
        <fgColor rgb="FFBDBDBD"/>
        <bgColor rgb="FFBDBDBD"/>
      </patternFill>
    </fill>
    <fill>
      <patternFill patternType="solid">
        <fgColor rgb="FFF3F3F3"/>
        <bgColor rgb="FFF3F3F3"/>
      </patternFill>
    </fill>
    <fill>
      <patternFill patternType="solid">
        <fgColor rgb="FFFFFFFF"/>
        <bgColor rgb="FFFFFFFF"/>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s>
  <borders count="1">
    <border/>
  </borders>
  <cellStyleXfs count="1">
    <xf borderId="0" fillId="0" fontId="0" numFmtId="0" applyAlignment="1" applyFont="1"/>
  </cellStyleXfs>
  <cellXfs count="108">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1"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shrinkToFit="0" wrapText="1"/>
    </xf>
    <xf borderId="0" fillId="0" fontId="1" numFmtId="0" xfId="0" applyAlignment="1" applyFont="1">
      <alignment shrinkToFit="0" wrapText="0"/>
    </xf>
    <xf borderId="0" fillId="0" fontId="2"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shrinkToFit="0" wrapText="0"/>
    </xf>
    <xf borderId="0" fillId="0" fontId="2" numFmtId="164" xfId="0" applyAlignment="1" applyFont="1" applyNumberFormat="1">
      <alignment readingOrder="0" shrinkToFit="0" wrapText="0"/>
    </xf>
    <xf borderId="0" fillId="0" fontId="2" numFmtId="165" xfId="0" applyAlignment="1" applyFont="1" applyNumberFormat="1">
      <alignment horizontal="left" readingOrder="0" shrinkToFit="0" wrapText="0"/>
    </xf>
    <xf borderId="0" fillId="0" fontId="2" numFmtId="164" xfId="0" applyAlignment="1" applyFont="1" applyNumberFormat="1">
      <alignment shrinkToFit="0" wrapText="0"/>
    </xf>
    <xf borderId="0" fillId="3" fontId="5" numFmtId="164" xfId="0" applyAlignment="1" applyFill="1" applyFont="1" applyNumberFormat="1">
      <alignment shrinkToFit="0" vertical="bottom" wrapText="1"/>
    </xf>
    <xf borderId="0" fillId="4" fontId="5" numFmtId="164" xfId="0" applyAlignment="1" applyFill="1" applyFont="1" applyNumberFormat="1">
      <alignment shrinkToFit="0" vertical="bottom" wrapText="1"/>
    </xf>
    <xf borderId="0" fillId="0" fontId="2" numFmtId="0" xfId="0" applyAlignment="1" applyFont="1">
      <alignment horizontal="left" readingOrder="0"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4" fontId="6" numFmtId="0" xfId="0" applyAlignment="1" applyFont="1">
      <alignment shrinkToFit="0" vertical="bottom" wrapText="1"/>
    </xf>
    <xf borderId="0" fillId="4" fontId="5" numFmtId="0" xfId="0" applyAlignment="1" applyFont="1">
      <alignment readingOrder="0" shrinkToFit="0" vertical="bottom" wrapText="1"/>
    </xf>
    <xf borderId="0" fillId="3" fontId="5" numFmtId="0" xfId="0" applyAlignment="1" applyFont="1">
      <alignment shrinkToFit="0" vertical="bottom" wrapText="1"/>
    </xf>
    <xf borderId="0" fillId="3" fontId="5" numFmtId="0" xfId="0" applyAlignment="1" applyFont="1">
      <alignment shrinkToFit="0" vertical="bottom" wrapText="1"/>
    </xf>
    <xf borderId="0" fillId="3" fontId="5" numFmtId="0" xfId="0" applyAlignment="1" applyFont="1">
      <alignment readingOrder="0" shrinkToFit="0" vertical="bottom" wrapText="1"/>
    </xf>
    <xf borderId="0" fillId="4" fontId="6" numFmtId="0" xfId="0" applyAlignment="1" applyFont="1">
      <alignment readingOrder="0" shrinkToFit="0" vertical="bottom" wrapText="1"/>
    </xf>
    <xf borderId="0" fillId="4" fontId="5" numFmtId="0" xfId="0" applyAlignment="1" applyFont="1">
      <alignment shrinkToFit="0" vertical="bottom" wrapText="1"/>
    </xf>
    <xf borderId="0" fillId="4" fontId="7" numFmtId="0" xfId="0" applyAlignment="1" applyFont="1">
      <alignment readingOrder="0" shrinkToFit="0" wrapText="1"/>
    </xf>
    <xf borderId="0" fillId="4" fontId="6" numFmtId="0" xfId="0" applyAlignment="1" applyFont="1">
      <alignment shrinkToFit="0" vertical="bottom" wrapText="1"/>
    </xf>
    <xf borderId="0" fillId="0" fontId="2" numFmtId="0" xfId="0" applyAlignment="1" applyFont="1">
      <alignment shrinkToFit="0" wrapText="1"/>
    </xf>
    <xf borderId="0" fillId="2" fontId="1" numFmtId="0" xfId="0" applyAlignment="1" applyFont="1">
      <alignment readingOrder="0" shrinkToFit="0" wrapText="1"/>
    </xf>
    <xf borderId="0" fillId="4" fontId="2" numFmtId="0" xfId="0" applyAlignment="1" applyFont="1">
      <alignment shrinkToFit="0" wrapText="1"/>
    </xf>
    <xf borderId="0" fillId="4" fontId="2" numFmtId="0" xfId="0" applyAlignment="1" applyFont="1">
      <alignment readingOrder="0" shrinkToFit="0" wrapText="1"/>
    </xf>
    <xf borderId="0" fillId="3" fontId="5" numFmtId="0" xfId="0" applyAlignment="1" applyFont="1">
      <alignment readingOrder="0" shrinkToFit="0" vertical="top" wrapText="1"/>
    </xf>
    <xf borderId="0" fillId="0" fontId="1" numFmtId="0" xfId="0" applyAlignment="1" applyFont="1">
      <alignment shrinkToFit="0"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2" numFmtId="0" xfId="0" applyAlignment="1" applyFont="1">
      <alignment horizontal="left" shrinkToFit="0" wrapText="1"/>
    </xf>
    <xf borderId="0" fillId="5" fontId="1" numFmtId="0" xfId="0" applyAlignment="1" applyFill="1" applyFont="1">
      <alignment readingOrder="0" shrinkToFit="0" wrapText="1"/>
    </xf>
    <xf borderId="0" fillId="2" fontId="6" numFmtId="0" xfId="0" applyAlignment="1" applyFont="1">
      <alignment horizontal="left" shrinkToFit="0" vertical="bottom" wrapText="1"/>
    </xf>
    <xf borderId="0" fillId="2" fontId="6" numFmtId="0" xfId="0" applyAlignment="1" applyFont="1">
      <alignment shrinkToFit="0" vertical="bottom" wrapText="0"/>
    </xf>
    <xf borderId="0" fillId="2" fontId="6" numFmtId="0" xfId="0" applyAlignment="1" applyFont="1">
      <alignment shrinkToFit="0" vertical="bottom" wrapText="0"/>
    </xf>
    <xf borderId="0" fillId="2" fontId="6" numFmtId="0" xfId="0" applyAlignment="1" applyFont="1">
      <alignment horizontal="center" readingOrder="0" shrinkToFit="0" vertical="bottom" wrapText="1"/>
    </xf>
    <xf borderId="0" fillId="4" fontId="5" numFmtId="0" xfId="0" applyAlignment="1" applyFont="1">
      <alignment horizontal="left" shrinkToFit="0" vertical="bottom" wrapText="1"/>
    </xf>
    <xf borderId="0" fillId="4" fontId="5" numFmtId="0" xfId="0" applyAlignment="1" applyFont="1">
      <alignment shrinkToFit="0" vertical="bottom" wrapText="0"/>
    </xf>
    <xf borderId="0" fillId="6" fontId="6" numFmtId="0" xfId="0" applyAlignment="1" applyFill="1" applyFont="1">
      <alignment horizontal="left" shrinkToFit="0" vertical="bottom" wrapText="0"/>
    </xf>
    <xf borderId="0" fillId="6" fontId="5" numFmtId="0" xfId="0" applyAlignment="1" applyFont="1">
      <alignment shrinkToFit="0" vertical="bottom" wrapText="0"/>
    </xf>
    <xf borderId="0" fillId="6" fontId="5" numFmtId="0" xfId="0" applyAlignment="1" applyFont="1">
      <alignment shrinkToFit="0" vertical="bottom" wrapText="1"/>
    </xf>
    <xf borderId="0" fillId="3" fontId="6" numFmtId="0" xfId="0" applyAlignment="1" applyFont="1">
      <alignment shrinkToFit="0" vertical="bottom" wrapText="0"/>
    </xf>
    <xf borderId="0" fillId="0" fontId="2" numFmtId="0" xfId="0" applyAlignment="1" applyFont="1">
      <alignment shrinkToFit="0" wrapText="0"/>
    </xf>
    <xf borderId="0" fillId="3" fontId="5" numFmtId="0" xfId="0" applyAlignment="1" applyFont="1">
      <alignment horizontal="right" shrinkToFit="0" vertical="bottom" wrapText="0"/>
    </xf>
    <xf borderId="0" fillId="7" fontId="6" numFmtId="0" xfId="0" applyAlignment="1" applyFill="1" applyFont="1">
      <alignment horizontal="left" shrinkToFit="0" vertical="bottom" wrapText="0"/>
    </xf>
    <xf borderId="0" fillId="7" fontId="6" numFmtId="0" xfId="0" applyAlignment="1" applyFont="1">
      <alignment shrinkToFit="0" vertical="bottom" wrapText="0"/>
    </xf>
    <xf borderId="0" fillId="7" fontId="5" numFmtId="0" xfId="0" applyAlignment="1" applyFont="1">
      <alignment shrinkToFit="0" vertical="bottom" wrapText="1"/>
    </xf>
    <xf borderId="0" fillId="4" fontId="8" numFmtId="0" xfId="0" applyAlignment="1" applyFont="1">
      <alignment horizontal="center" shrinkToFit="0" vertical="bottom" wrapText="0"/>
    </xf>
    <xf borderId="0" fillId="3" fontId="5" numFmtId="0" xfId="0" applyAlignment="1" applyFont="1">
      <alignment horizontal="left" shrinkToFit="0" vertical="bottom" wrapText="1"/>
    </xf>
    <xf borderId="0" fillId="4" fontId="5" numFmtId="0" xfId="0" applyAlignment="1" applyFont="1">
      <alignment horizontal="right" shrinkToFit="0" vertical="bottom" wrapText="0"/>
    </xf>
    <xf borderId="0" fillId="4" fontId="5" numFmtId="0" xfId="0" applyAlignment="1" applyFont="1">
      <alignment horizontal="left" readingOrder="0" shrinkToFit="0" vertical="bottom" wrapText="1"/>
    </xf>
    <xf borderId="0" fillId="4" fontId="5" numFmtId="0" xfId="0" applyAlignment="1" applyFont="1">
      <alignment shrinkToFit="0" vertical="bottom" wrapText="0"/>
    </xf>
    <xf borderId="0" fillId="8" fontId="6" numFmtId="0" xfId="0" applyAlignment="1" applyFill="1" applyFont="1">
      <alignment horizontal="left" shrinkToFit="0" vertical="bottom" wrapText="0"/>
    </xf>
    <xf borderId="0" fillId="8" fontId="6" numFmtId="0" xfId="0" applyAlignment="1" applyFont="1">
      <alignment shrinkToFit="0" vertical="bottom" wrapText="0"/>
    </xf>
    <xf borderId="0" fillId="8" fontId="5" numFmtId="0" xfId="0" applyAlignment="1" applyFont="1">
      <alignment shrinkToFit="0" vertical="bottom" wrapText="1"/>
    </xf>
    <xf borderId="0" fillId="4" fontId="6" numFmtId="0" xfId="0" applyAlignment="1" applyFont="1">
      <alignment horizontal="left" shrinkToFit="0" vertical="bottom" wrapText="0"/>
    </xf>
    <xf borderId="0" fillId="4" fontId="6" numFmtId="0" xfId="0" applyAlignment="1" applyFont="1">
      <alignment shrinkToFit="0" vertical="bottom" wrapText="0"/>
    </xf>
    <xf borderId="0" fillId="3" fontId="5" numFmtId="0" xfId="0" applyAlignment="1" applyFont="1">
      <alignment shrinkToFit="0" vertical="bottom" wrapText="0"/>
    </xf>
    <xf borderId="0" fillId="4" fontId="5" numFmtId="0" xfId="0" applyAlignment="1" applyFont="1">
      <alignment horizontal="right" shrinkToFit="0" vertical="bottom" wrapText="0"/>
    </xf>
    <xf borderId="0" fillId="4" fontId="5" numFmtId="0" xfId="0" applyAlignment="1" applyFont="1">
      <alignment horizontal="left" shrinkToFit="0" vertical="bottom" wrapText="1"/>
    </xf>
    <xf borderId="0" fillId="5" fontId="1" numFmtId="0" xfId="0" applyAlignment="1" applyFont="1">
      <alignment readingOrder="0" shrinkToFit="0" wrapText="0"/>
    </xf>
    <xf borderId="0" fillId="2" fontId="6" numFmtId="0" xfId="0" applyAlignment="1" applyFont="1">
      <alignment shrinkToFit="0" vertical="bottom" wrapText="1"/>
    </xf>
    <xf borderId="0" fillId="7" fontId="6" numFmtId="0" xfId="0" applyAlignment="1" applyFont="1">
      <alignment shrinkToFit="0" vertical="bottom" wrapText="0"/>
    </xf>
    <xf borderId="0" fillId="4" fontId="5" numFmtId="0" xfId="0" applyAlignment="1" applyFont="1">
      <alignment shrinkToFit="0" vertical="bottom" wrapText="1"/>
    </xf>
    <xf borderId="0" fillId="2" fontId="6" numFmtId="0" xfId="0" applyAlignment="1" applyFont="1">
      <alignment shrinkToFit="0" vertical="bottom" wrapText="1"/>
    </xf>
    <xf borderId="0" fillId="2" fontId="6" numFmtId="0" xfId="0" applyAlignment="1" applyFont="1">
      <alignment readingOrder="0" shrinkToFit="0" vertical="bottom" wrapText="0"/>
    </xf>
    <xf borderId="0" fillId="2" fontId="6" numFmtId="0" xfId="0" applyAlignment="1" applyFont="1">
      <alignment shrinkToFit="0" vertical="center" wrapText="1"/>
    </xf>
    <xf borderId="0" fillId="2" fontId="6" numFmtId="0" xfId="0" applyAlignment="1" applyFont="1">
      <alignment horizontal="center" shrinkToFit="0" vertical="center" wrapText="1"/>
    </xf>
    <xf borderId="0" fillId="2" fontId="6" numFmtId="4" xfId="0" applyAlignment="1" applyFont="1" applyNumberFormat="1">
      <alignment shrinkToFit="0" vertical="center" wrapText="1"/>
    </xf>
    <xf borderId="0" fillId="2" fontId="5" numFmtId="4" xfId="0" applyAlignment="1" applyFont="1" applyNumberFormat="1">
      <alignment shrinkToFit="0" vertical="center" wrapText="1"/>
    </xf>
    <xf borderId="0" fillId="2" fontId="5" numFmtId="0" xfId="0" applyAlignment="1" applyFont="1">
      <alignment shrinkToFit="0" vertical="center" wrapText="1"/>
    </xf>
    <xf borderId="0" fillId="2" fontId="1" numFmtId="0" xfId="0" applyAlignment="1" applyFont="1">
      <alignment shrinkToFit="0" vertical="center" wrapText="1"/>
    </xf>
    <xf borderId="0" fillId="4" fontId="6" numFmtId="0" xfId="0" applyAlignment="1" applyFont="1">
      <alignment shrinkToFit="0" vertical="center" wrapText="1"/>
    </xf>
    <xf borderId="0" fillId="5" fontId="5" numFmtId="0" xfId="0" applyAlignment="1" applyFont="1">
      <alignment horizontal="center" readingOrder="0" shrinkToFit="0" vertical="center" wrapText="1"/>
    </xf>
    <xf borderId="0" fillId="4" fontId="5" numFmtId="4" xfId="0" applyAlignment="1" applyFont="1" applyNumberFormat="1">
      <alignment shrinkToFit="0" vertical="center" wrapText="1"/>
    </xf>
    <xf borderId="0" fillId="8" fontId="9" numFmtId="4" xfId="0" applyAlignment="1" applyFont="1" applyNumberFormat="1">
      <alignment horizontal="center" shrinkToFit="0" vertical="center" wrapText="1"/>
    </xf>
    <xf borderId="0" fillId="8" fontId="9" numFmtId="0" xfId="0" applyAlignment="1" applyFont="1">
      <alignment horizontal="center" shrinkToFit="0" vertical="center" wrapText="1"/>
    </xf>
    <xf borderId="0" fillId="4" fontId="2" numFmtId="0" xfId="0" applyAlignment="1" applyFont="1">
      <alignment shrinkToFit="0" vertical="center" wrapText="1"/>
    </xf>
    <xf borderId="0" fillId="3" fontId="6" numFmtId="0" xfId="0" applyAlignment="1" applyFont="1">
      <alignment shrinkToFit="0" vertical="center" wrapText="1"/>
    </xf>
    <xf borderId="0" fillId="3" fontId="5" numFmtId="4" xfId="0" applyAlignment="1" applyFont="1" applyNumberFormat="1">
      <alignment shrinkToFit="0" vertical="center" wrapText="1"/>
    </xf>
    <xf borderId="0" fillId="3" fontId="2" numFmtId="0" xfId="0" applyAlignment="1" applyFont="1">
      <alignment shrinkToFit="0" vertical="center" wrapText="1"/>
    </xf>
    <xf borderId="0" fillId="5" fontId="5" numFmtId="0" xfId="0" applyAlignment="1" applyFont="1">
      <alignment horizontal="center" shrinkToFit="0" vertical="center" wrapText="1"/>
    </xf>
    <xf borderId="0" fillId="5" fontId="5" numFmtId="0" xfId="0" applyAlignment="1" applyFont="1">
      <alignment horizontal="center" shrinkToFit="0" vertical="center" wrapText="1"/>
    </xf>
    <xf borderId="0" fillId="3" fontId="5" numFmtId="0" xfId="0" applyAlignment="1" applyFont="1">
      <alignment shrinkToFit="0" vertical="center" wrapText="1"/>
    </xf>
    <xf borderId="0" fillId="4" fontId="5" numFmtId="0" xfId="0" applyAlignment="1" applyFont="1">
      <alignment shrinkToFit="0" vertical="center" wrapText="1"/>
    </xf>
    <xf borderId="0" fillId="7" fontId="5" numFmtId="0" xfId="0" applyAlignment="1" applyFont="1">
      <alignment horizontal="center" shrinkToFit="0" vertical="center" wrapText="1"/>
    </xf>
    <xf borderId="0" fillId="7" fontId="5" numFmtId="0" xfId="0" applyAlignment="1" applyFont="1">
      <alignment readingOrder="0" shrinkToFit="0" vertical="center" wrapText="1"/>
    </xf>
    <xf borderId="0" fillId="4" fontId="1" numFmtId="0" xfId="0" applyAlignment="1" applyFont="1">
      <alignment shrinkToFit="0" wrapText="0"/>
    </xf>
    <xf borderId="0" fillId="4" fontId="1"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xf borderId="0" fillId="4" fontId="2" numFmtId="0" xfId="0" applyAlignment="1" applyFont="1">
      <alignment shrinkToFit="0" wrapText="0"/>
    </xf>
    <xf borderId="0" fillId="3" fontId="2" numFmtId="0" xfId="0" applyAlignment="1" applyFont="1">
      <alignment shrinkToFit="0"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2">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20" displayName="Table_1" name="Table_1" id="1">
  <tableColumns count="2">
    <tableColumn name="Project Name" id="1"/>
    <tableColumn name="AIlixir Intelligence" id="2"/>
  </tableColumns>
  <tableStyleInfo name="Project Data-style" showColumnStripes="0" showFirstColumn="1" showLastColumn="1" showRowStripes="1"/>
</table>
</file>

<file path=xl/tables/table2.xml><?xml version="1.0" encoding="utf-8"?>
<table xmlns="http://schemas.openxmlformats.org/spreadsheetml/2006/main" ref="A1:D19"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60" displayName="Table_4" name="Table_4" id="4">
  <tableColumns count="2">
    <tableColumn name="Goals" id="1"/>
    <tableColumn name="Deliver MVP " id="2"/>
  </tableColumns>
  <tableStyleInfo name="Team Contract-style" showColumnStripes="0" showFirstColumn="1" showLastColumn="1" showRowStripes="1"/>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B20" displayName="Table_7" name="Table_7" id="7">
  <tableColumns count="2">
    <tableColumn name="Sprint #" id="1"/>
    <tableColumn name="Story Points Realized" id="2"/>
  </tableColumns>
  <tableStyleInfo name="Velocity Tracking-style" showColumnStripes="0" showFirstColumn="1" showLastColumn="1" showRowStripes="1"/>
</table>
</file>

<file path=xl/tables/table8.xml><?xml version="1.0" encoding="utf-8"?>
<table xmlns="http://schemas.openxmlformats.org/spreadsheetml/2006/main" ref="A1:G34" displayName="Table_8" name="Table_8" id="8">
  <tableColumns count="7">
    <tableColumn name="Sprint" id="1"/>
    <tableColumn name="Goal" id="2"/>
    <tableColumn name="Feature Name" id="3"/>
    <tableColumn name="Est. size" id="4"/>
    <tableColumn name="Est. remaining" id="5"/>
    <tableColumn name="Real size" id="6"/>
    <tableColumn name="Real remaining" id="7"/>
  </tableColumns>
  <tableStyleInfo name="Mid-Project Release plan-style" showColumnStripes="0" showFirstColumn="1" showLastColumn="1" showRowStripes="1"/>
</table>
</file>

<file path=xl/tables/table9.xml><?xml version="1.0" encoding="utf-8"?>
<table xmlns="http://schemas.openxmlformats.org/spreadsheetml/2006/main" ref="A1:G34" displayName="Table_9" name="Table_9" id="9">
  <tableColumns count="7">
    <tableColumn name="Sprint"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0.xml><?xml version="1.0" encoding="utf-8"?>
<table xmlns="http://schemas.openxmlformats.org/spreadsheetml/2006/main" ref="A1:D20" displayName="Table_10" name="Table_10" id="10">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1.xml><?xml version="1.0" encoding="utf-8"?>
<table xmlns="http://schemas.openxmlformats.org/spreadsheetml/2006/main" ref="A1:B20" displayName="Table_11" name="Table_11" id="11">
  <tableColumns count="2">
    <tableColumn name="Type" id="1"/>
    <tableColumn name="Link / reference" id="2"/>
  </tableColumns>
  <tableStyleInfo name="Documentation-style" showColumnStripes="0" showFirstColumn="1" showLastColumn="1" showRowStripes="1"/>
</table>
</file>

<file path=xl/tables/table12.xml><?xml version="1.0" encoding="utf-8"?>
<table xmlns="http://schemas.openxmlformats.org/spreadsheetml/2006/main" ref="A1:F55" displayName="Table_12" name="Table_12" id="12">
  <tableColumns count="6">
    <tableColumn name="#" id="1"/>
    <tableColumn name="Context" id="2"/>
    <tableColumn name="Name" id="3"/>
    <tableColumn name="Version" id="4"/>
    <tableColumn name="License" id="5"/>
    <tableColumn name="Comment" id="6"/>
  </tableColumns>
  <tableStyleInfo name="Bill of Materials-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tu-berlin.zoom-x.de/j/68161739941?pwd=Tz3duoAQeQHGWAsBNMexRqNxlnSPCI.1" TargetMode="External"/><Relationship Id="rId2" Type="http://schemas.openxmlformats.org/officeDocument/2006/relationships/hyperlink" Target="https://github.com/amosproj/amos2026ss03-ailixir-intelligence" TargetMode="External"/><Relationship Id="rId3" Type="http://schemas.openxmlformats.org/officeDocument/2006/relationships/hyperlink" Target="https://github.com/orgs/amosproj/projects/99" TargetMode="External"/><Relationship Id="rId4" Type="http://schemas.openxmlformats.org/officeDocument/2006/relationships/hyperlink" Target="https://github.com/orgs/amosproj/projects/103/views/1" TargetMode="External"/><Relationship Id="rId9" Type="http://schemas.openxmlformats.org/officeDocument/2006/relationships/table" Target="../tables/table1.xml"/><Relationship Id="rId5" Type="http://schemas.openxmlformats.org/officeDocument/2006/relationships/hyperlink" Target="https://www.shirtinator.com/s/w1QJzfDfTC-gGBjVmnCscg" TargetMode="External"/><Relationship Id="rId6" Type="http://schemas.openxmlformats.org/officeDocument/2006/relationships/hyperlink" Target="https://www.shirtinator.com/s/sMNil0MoQzmuNuc04Y6Ljw"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3"/>
    </row>
    <row r="5">
      <c r="A5" s="4" t="s">
        <v>4</v>
      </c>
      <c r="B5" s="2" t="s">
        <v>5</v>
      </c>
    </row>
    <row r="6">
      <c r="A6" s="4" t="s">
        <v>6</v>
      </c>
      <c r="B6" s="2" t="s">
        <v>5</v>
      </c>
    </row>
    <row r="7">
      <c r="A7" s="1"/>
      <c r="B7" s="3"/>
    </row>
    <row r="8">
      <c r="A8" s="4" t="s">
        <v>7</v>
      </c>
      <c r="B8" s="5" t="s">
        <v>8</v>
      </c>
    </row>
    <row r="9">
      <c r="A9" s="4" t="s">
        <v>9</v>
      </c>
      <c r="B9" s="5" t="s">
        <v>10</v>
      </c>
    </row>
    <row r="10">
      <c r="A10" s="4" t="s">
        <v>11</v>
      </c>
      <c r="B10" s="5" t="s">
        <v>12</v>
      </c>
    </row>
    <row r="11">
      <c r="A11" s="1"/>
      <c r="B11" s="3"/>
    </row>
    <row r="12">
      <c r="A12" s="6" t="s">
        <v>13</v>
      </c>
      <c r="B12" s="2" t="s">
        <v>14</v>
      </c>
    </row>
    <row r="13">
      <c r="A13" s="4" t="s">
        <v>15</v>
      </c>
      <c r="B13" s="5" t="s">
        <v>16</v>
      </c>
    </row>
    <row r="14">
      <c r="A14" s="4" t="s">
        <v>17</v>
      </c>
      <c r="B14" s="7" t="s">
        <v>18</v>
      </c>
    </row>
    <row r="15">
      <c r="A15" s="1"/>
      <c r="B15" s="3"/>
    </row>
    <row r="16">
      <c r="A16" s="1" t="s">
        <v>19</v>
      </c>
      <c r="B16" s="3" t="s">
        <v>5</v>
      </c>
    </row>
    <row r="17">
      <c r="A17" s="1"/>
      <c r="B17" s="3"/>
    </row>
    <row r="18">
      <c r="A18" s="4" t="s">
        <v>20</v>
      </c>
      <c r="B18" s="2" t="s">
        <v>21</v>
      </c>
    </row>
    <row r="19">
      <c r="A19" s="1"/>
      <c r="B19" s="3"/>
    </row>
    <row r="20">
      <c r="A20" s="1"/>
      <c r="B20" s="3"/>
    </row>
  </sheetData>
  <dataValidations>
    <dataValidation type="list" allowBlank="1" showErrorMessage="1" sqref="B12">
      <formula1>"Upper Torso Center Large,Upper Torso Right Small"</formula1>
    </dataValidation>
  </dataValidations>
  <hyperlinks>
    <hyperlink r:id="rId1" ref="B3"/>
    <hyperlink r:id="rId2" ref="B8"/>
    <hyperlink r:id="rId3" ref="B9"/>
    <hyperlink r:id="rId4" ref="B10"/>
    <hyperlink r:id="rId5" ref="B13"/>
    <hyperlink r:id="rId6" ref="B14"/>
  </hyperlinks>
  <printOptions gridLines="1" horizontalCentered="1"/>
  <pageMargins bottom="0.75" footer="0.0" header="0.0" left="0.7" right="0.7" top="0.75"/>
  <pageSetup fitToHeight="0" paperSize="9" cellComments="atEnd" orientation="landscape" pageOrder="overThenDown"/>
  <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31.38"/>
    <col customWidth="1" min="3" max="3" width="30.25"/>
    <col customWidth="1" min="4" max="4" width="31.38"/>
  </cols>
  <sheetData>
    <row r="1">
      <c r="A1" s="8" t="s">
        <v>22</v>
      </c>
      <c r="B1" s="8" t="s">
        <v>23</v>
      </c>
      <c r="C1" s="8" t="s">
        <v>24</v>
      </c>
      <c r="D1" s="8" t="s">
        <v>25</v>
      </c>
    </row>
    <row r="2">
      <c r="A2" s="9" t="s">
        <v>26</v>
      </c>
      <c r="B2" s="9" t="s">
        <v>27</v>
      </c>
      <c r="C2" s="9" t="s">
        <v>28</v>
      </c>
      <c r="D2" s="9" t="s">
        <v>29</v>
      </c>
    </row>
    <row r="3">
      <c r="A3" s="9" t="s">
        <v>30</v>
      </c>
      <c r="B3" s="9" t="s">
        <v>31</v>
      </c>
      <c r="C3" s="9" t="s">
        <v>32</v>
      </c>
      <c r="D3" s="9" t="s">
        <v>33</v>
      </c>
    </row>
    <row r="4">
      <c r="A4" s="9" t="s">
        <v>34</v>
      </c>
      <c r="B4" s="9" t="s">
        <v>35</v>
      </c>
      <c r="C4" s="9" t="s">
        <v>36</v>
      </c>
      <c r="D4" s="9" t="s">
        <v>37</v>
      </c>
    </row>
    <row r="5">
      <c r="A5" s="9" t="s">
        <v>38</v>
      </c>
      <c r="B5" s="9" t="s">
        <v>39</v>
      </c>
      <c r="C5" s="9" t="s">
        <v>40</v>
      </c>
      <c r="D5" s="9" t="s">
        <v>41</v>
      </c>
    </row>
    <row r="6">
      <c r="A6" s="9" t="s">
        <v>42</v>
      </c>
      <c r="B6" s="9" t="s">
        <v>43</v>
      </c>
      <c r="C6" s="9" t="s">
        <v>44</v>
      </c>
      <c r="D6" s="9" t="s">
        <v>45</v>
      </c>
    </row>
    <row r="7">
      <c r="A7" s="9" t="s">
        <v>46</v>
      </c>
      <c r="B7" s="9" t="s">
        <v>47</v>
      </c>
      <c r="C7" s="9" t="s">
        <v>48</v>
      </c>
      <c r="D7" s="9" t="s">
        <v>49</v>
      </c>
    </row>
    <row r="8">
      <c r="A8" s="10" t="s">
        <v>50</v>
      </c>
      <c r="B8" s="10" t="s">
        <v>51</v>
      </c>
      <c r="C8" s="10" t="s">
        <v>52</v>
      </c>
      <c r="D8" s="10" t="s">
        <v>53</v>
      </c>
    </row>
    <row r="9">
      <c r="A9" s="9" t="s">
        <v>54</v>
      </c>
      <c r="B9" s="9" t="s">
        <v>55</v>
      </c>
      <c r="C9" s="9" t="s">
        <v>56</v>
      </c>
      <c r="D9" s="9" t="s">
        <v>57</v>
      </c>
    </row>
    <row r="10">
      <c r="A10" s="9" t="s">
        <v>58</v>
      </c>
      <c r="B10" s="9" t="s">
        <v>59</v>
      </c>
      <c r="C10" s="9" t="s">
        <v>60</v>
      </c>
      <c r="D10" s="9" t="s">
        <v>61</v>
      </c>
    </row>
    <row r="11">
      <c r="A11" s="9" t="s">
        <v>62</v>
      </c>
      <c r="B11" s="9" t="s">
        <v>63</v>
      </c>
      <c r="C11" s="9" t="s">
        <v>64</v>
      </c>
      <c r="D11" s="9" t="s">
        <v>65</v>
      </c>
    </row>
    <row r="12">
      <c r="A12" s="8"/>
      <c r="B12" s="11"/>
      <c r="C12" s="11"/>
      <c r="D12" s="11"/>
    </row>
    <row r="13">
      <c r="A13" s="12"/>
      <c r="B13" s="9"/>
      <c r="C13" s="12"/>
      <c r="D13" s="12"/>
    </row>
    <row r="14">
      <c r="A14" s="12"/>
      <c r="B14" s="9"/>
      <c r="C14" s="12"/>
      <c r="D14" s="12"/>
    </row>
    <row r="15">
      <c r="A15" s="12"/>
      <c r="B15" s="12"/>
      <c r="C15" s="12"/>
      <c r="D15" s="12"/>
    </row>
    <row r="16">
      <c r="A16" s="12"/>
      <c r="B16" s="12"/>
      <c r="C16" s="12"/>
      <c r="D16" s="12"/>
    </row>
    <row r="17">
      <c r="A17" s="12"/>
      <c r="B17" s="12"/>
      <c r="C17" s="12"/>
      <c r="D17" s="12"/>
    </row>
    <row r="18">
      <c r="A18" s="12"/>
      <c r="B18" s="12"/>
      <c r="C18" s="12"/>
      <c r="D18" s="12"/>
    </row>
    <row r="19">
      <c r="A19" s="12"/>
      <c r="B19" s="12"/>
      <c r="C19" s="12"/>
      <c r="D19" s="12"/>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13"/>
      <c r="B1" s="13"/>
      <c r="C1" s="13" t="s">
        <v>66</v>
      </c>
      <c r="E1" s="13"/>
      <c r="F1" s="14"/>
      <c r="G1" s="14"/>
      <c r="H1" s="13"/>
    </row>
    <row r="2">
      <c r="A2" s="15" t="s">
        <v>67</v>
      </c>
      <c r="B2" s="15" t="s">
        <v>68</v>
      </c>
      <c r="C2" s="15" t="s">
        <v>69</v>
      </c>
      <c r="D2" s="15" t="s">
        <v>70</v>
      </c>
      <c r="E2" s="15" t="s">
        <v>71</v>
      </c>
      <c r="F2" s="16" t="s">
        <v>72</v>
      </c>
      <c r="G2" s="16" t="s">
        <v>73</v>
      </c>
      <c r="H2" s="15" t="s">
        <v>74</v>
      </c>
    </row>
    <row r="3">
      <c r="A3" s="17">
        <v>1.0</v>
      </c>
      <c r="B3" s="18">
        <v>46127.0</v>
      </c>
      <c r="C3" s="9"/>
      <c r="D3" s="9" t="s">
        <v>47</v>
      </c>
      <c r="E3" s="9" t="s">
        <v>75</v>
      </c>
      <c r="F3" s="9" t="s">
        <v>76</v>
      </c>
      <c r="G3" s="9" t="s">
        <v>77</v>
      </c>
      <c r="H3" s="19"/>
    </row>
    <row r="4">
      <c r="A4" s="17">
        <v>2.0</v>
      </c>
      <c r="B4" s="20">
        <f t="shared" ref="B4:B17" si="1">B3+7</f>
        <v>46134</v>
      </c>
      <c r="C4" s="9" t="s">
        <v>47</v>
      </c>
      <c r="D4" s="9" t="s">
        <v>43</v>
      </c>
      <c r="E4" s="9" t="s">
        <v>75</v>
      </c>
      <c r="F4" s="9" t="s">
        <v>78</v>
      </c>
      <c r="G4" s="9" t="s">
        <v>77</v>
      </c>
      <c r="H4" s="19"/>
    </row>
    <row r="5">
      <c r="A5" s="17">
        <v>3.0</v>
      </c>
      <c r="B5" s="20">
        <f t="shared" si="1"/>
        <v>46141</v>
      </c>
      <c r="C5" s="9" t="s">
        <v>43</v>
      </c>
      <c r="D5" s="9" t="s">
        <v>47</v>
      </c>
      <c r="E5" s="9" t="s">
        <v>75</v>
      </c>
      <c r="F5" s="9" t="s">
        <v>78</v>
      </c>
      <c r="G5" s="9" t="s">
        <v>77</v>
      </c>
      <c r="H5" s="19"/>
    </row>
    <row r="6">
      <c r="A6" s="17">
        <v>4.0</v>
      </c>
      <c r="B6" s="20">
        <f t="shared" si="1"/>
        <v>46148</v>
      </c>
      <c r="C6" s="9" t="s">
        <v>47</v>
      </c>
      <c r="D6" s="9" t="s">
        <v>43</v>
      </c>
      <c r="E6" s="9" t="s">
        <v>75</v>
      </c>
      <c r="F6" s="9" t="s">
        <v>79</v>
      </c>
      <c r="G6" s="9" t="s">
        <v>77</v>
      </c>
      <c r="H6" s="19"/>
    </row>
    <row r="7">
      <c r="A7" s="17">
        <v>5.0</v>
      </c>
      <c r="B7" s="20">
        <f t="shared" si="1"/>
        <v>46155</v>
      </c>
      <c r="C7" s="9" t="s">
        <v>43</v>
      </c>
      <c r="D7" s="9" t="s">
        <v>47</v>
      </c>
      <c r="E7" s="9" t="s">
        <v>75</v>
      </c>
      <c r="F7" s="9" t="s">
        <v>80</v>
      </c>
      <c r="G7" s="9" t="s">
        <v>77</v>
      </c>
      <c r="H7" s="19"/>
    </row>
    <row r="8">
      <c r="A8" s="17">
        <v>6.0</v>
      </c>
      <c r="B8" s="20">
        <f t="shared" si="1"/>
        <v>46162</v>
      </c>
      <c r="C8" s="9" t="s">
        <v>47</v>
      </c>
      <c r="D8" s="9" t="s">
        <v>43</v>
      </c>
      <c r="E8" s="9" t="s">
        <v>5</v>
      </c>
      <c r="F8" s="9" t="s">
        <v>81</v>
      </c>
      <c r="G8" s="9" t="s">
        <v>77</v>
      </c>
      <c r="H8" s="19"/>
    </row>
    <row r="9">
      <c r="A9" s="17">
        <v>7.0</v>
      </c>
      <c r="B9" s="20">
        <f t="shared" si="1"/>
        <v>46169</v>
      </c>
      <c r="C9" s="9" t="s">
        <v>43</v>
      </c>
      <c r="D9" s="9" t="s">
        <v>47</v>
      </c>
      <c r="E9" s="12"/>
      <c r="F9" s="9" t="s">
        <v>82</v>
      </c>
      <c r="G9" s="9" t="s">
        <v>77</v>
      </c>
      <c r="H9" s="19"/>
    </row>
    <row r="10">
      <c r="A10" s="17">
        <v>8.0</v>
      </c>
      <c r="B10" s="20">
        <f t="shared" si="1"/>
        <v>46176</v>
      </c>
      <c r="C10" s="9" t="s">
        <v>47</v>
      </c>
      <c r="D10" s="9" t="s">
        <v>43</v>
      </c>
      <c r="E10" s="12"/>
      <c r="F10" s="9" t="s">
        <v>83</v>
      </c>
      <c r="G10" s="9" t="s">
        <v>77</v>
      </c>
    </row>
    <row r="11">
      <c r="A11" s="17">
        <v>9.0</v>
      </c>
      <c r="B11" s="20">
        <f t="shared" si="1"/>
        <v>46183</v>
      </c>
      <c r="C11" s="9" t="s">
        <v>43</v>
      </c>
      <c r="D11" s="9" t="s">
        <v>47</v>
      </c>
      <c r="E11" s="12"/>
      <c r="F11" s="9" t="s">
        <v>84</v>
      </c>
      <c r="G11" s="9" t="s">
        <v>77</v>
      </c>
      <c r="H11" s="19"/>
    </row>
    <row r="12">
      <c r="A12" s="17">
        <v>10.0</v>
      </c>
      <c r="B12" s="21">
        <f t="shared" si="1"/>
        <v>46190</v>
      </c>
      <c r="C12" s="9" t="s">
        <v>47</v>
      </c>
      <c r="D12" s="9" t="s">
        <v>43</v>
      </c>
      <c r="E12" s="12"/>
      <c r="F12" s="9" t="s">
        <v>82</v>
      </c>
      <c r="G12" s="9" t="s">
        <v>77</v>
      </c>
      <c r="H12" s="19"/>
    </row>
    <row r="13">
      <c r="A13" s="17">
        <v>11.0</v>
      </c>
      <c r="B13" s="22">
        <f t="shared" si="1"/>
        <v>46197</v>
      </c>
      <c r="C13" s="9" t="s">
        <v>43</v>
      </c>
      <c r="D13" s="9" t="s">
        <v>47</v>
      </c>
      <c r="E13" s="12"/>
      <c r="F13" s="9" t="s">
        <v>79</v>
      </c>
      <c r="G13" s="9" t="s">
        <v>77</v>
      </c>
      <c r="H13" s="19"/>
    </row>
    <row r="14">
      <c r="A14" s="17">
        <v>12.0</v>
      </c>
      <c r="B14" s="21">
        <f t="shared" si="1"/>
        <v>46204</v>
      </c>
      <c r="C14" s="9" t="s">
        <v>47</v>
      </c>
      <c r="D14" s="9" t="s">
        <v>43</v>
      </c>
      <c r="E14" s="12"/>
      <c r="F14" s="9" t="s">
        <v>80</v>
      </c>
      <c r="G14" s="9" t="s">
        <v>77</v>
      </c>
      <c r="H14" s="19"/>
    </row>
    <row r="15">
      <c r="A15" s="17">
        <v>13.0</v>
      </c>
      <c r="B15" s="22">
        <f t="shared" si="1"/>
        <v>46211</v>
      </c>
      <c r="C15" s="9" t="s">
        <v>43</v>
      </c>
      <c r="D15" s="9" t="s">
        <v>47</v>
      </c>
      <c r="E15" s="12"/>
      <c r="F15" s="9" t="s">
        <v>81</v>
      </c>
      <c r="G15" s="9" t="s">
        <v>77</v>
      </c>
      <c r="H15" s="19"/>
    </row>
    <row r="16">
      <c r="A16" s="17">
        <v>14.0</v>
      </c>
      <c r="B16" s="21">
        <f t="shared" si="1"/>
        <v>46218</v>
      </c>
      <c r="C16" s="9" t="s">
        <v>47</v>
      </c>
      <c r="D16" s="9" t="s">
        <v>85</v>
      </c>
      <c r="E16" s="12"/>
      <c r="F16" s="9" t="s">
        <v>84</v>
      </c>
      <c r="G16" s="9" t="s">
        <v>77</v>
      </c>
      <c r="H16" s="23" t="s">
        <v>86</v>
      </c>
    </row>
    <row r="17">
      <c r="A17" s="17">
        <v>15.0</v>
      </c>
      <c r="B17" s="22">
        <f t="shared" si="1"/>
        <v>46225</v>
      </c>
      <c r="C17" s="9"/>
      <c r="D17" s="9" t="s">
        <v>85</v>
      </c>
      <c r="E17" s="12"/>
      <c r="F17" s="12"/>
      <c r="G17" s="9" t="s">
        <v>77</v>
      </c>
      <c r="H17" s="23" t="s">
        <v>87</v>
      </c>
    </row>
    <row r="18">
      <c r="A18" s="17"/>
      <c r="B18" s="24"/>
      <c r="C18" s="12"/>
      <c r="D18" s="12"/>
      <c r="E18" s="12"/>
      <c r="F18" s="12"/>
      <c r="G18" s="12"/>
      <c r="H18" s="25"/>
    </row>
    <row r="19">
      <c r="A19" s="23" t="s">
        <v>88</v>
      </c>
      <c r="B19" s="26"/>
      <c r="C19" s="27"/>
      <c r="D19" s="27"/>
      <c r="E19" s="27"/>
      <c r="F19" s="27"/>
      <c r="G19" s="27"/>
      <c r="H19" s="25"/>
    </row>
    <row r="20">
      <c r="A20" s="27"/>
      <c r="B20" s="24"/>
      <c r="C20" s="12"/>
      <c r="D20" s="12"/>
      <c r="E20" s="12"/>
      <c r="F20" s="12"/>
      <c r="G20" s="12"/>
      <c r="H20" s="25"/>
    </row>
    <row r="21">
      <c r="A21" s="17"/>
      <c r="B21" s="24"/>
      <c r="C21" s="12"/>
      <c r="D21" s="12"/>
      <c r="E21" s="12"/>
      <c r="F21" s="12"/>
      <c r="G21" s="12"/>
      <c r="H21" s="25"/>
    </row>
  </sheetData>
  <mergeCells count="1">
    <mergeCell ref="C1:D1"/>
  </mergeCell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28" t="s">
        <v>89</v>
      </c>
      <c r="B1" s="29" t="s">
        <v>90</v>
      </c>
    </row>
    <row r="2">
      <c r="A2" s="30"/>
      <c r="B2" s="31"/>
    </row>
    <row r="3">
      <c r="A3" s="30"/>
      <c r="B3" s="32" t="s">
        <v>91</v>
      </c>
    </row>
    <row r="4">
      <c r="A4" s="30"/>
      <c r="B4" s="32" t="s">
        <v>92</v>
      </c>
    </row>
    <row r="5">
      <c r="A5" s="33"/>
      <c r="B5" s="34"/>
    </row>
    <row r="6">
      <c r="A6" s="33" t="s">
        <v>93</v>
      </c>
      <c r="B6" s="29" t="s">
        <v>94</v>
      </c>
    </row>
    <row r="7">
      <c r="A7" s="30"/>
      <c r="B7" s="32" t="s">
        <v>95</v>
      </c>
    </row>
    <row r="8">
      <c r="A8" s="30"/>
      <c r="B8" s="32" t="s">
        <v>96</v>
      </c>
    </row>
    <row r="9">
      <c r="A9" s="30"/>
      <c r="B9" s="32" t="s">
        <v>97</v>
      </c>
    </row>
    <row r="10">
      <c r="A10" s="33"/>
      <c r="B10" s="10" t="s">
        <v>98</v>
      </c>
    </row>
    <row r="11">
      <c r="A11" s="33"/>
      <c r="B11" s="29" t="s">
        <v>99</v>
      </c>
    </row>
    <row r="12">
      <c r="A12" s="33"/>
      <c r="B12" s="29" t="s">
        <v>100</v>
      </c>
    </row>
    <row r="13">
      <c r="A13" s="33" t="s">
        <v>101</v>
      </c>
      <c r="B13" s="34"/>
    </row>
    <row r="14">
      <c r="A14" s="30"/>
      <c r="B14" s="32" t="s">
        <v>102</v>
      </c>
    </row>
    <row r="15">
      <c r="A15" s="30"/>
      <c r="B15" s="32" t="s">
        <v>103</v>
      </c>
    </row>
    <row r="16">
      <c r="A16" s="33"/>
      <c r="B16" s="29" t="s">
        <v>104</v>
      </c>
    </row>
    <row r="17">
      <c r="A17" s="33"/>
      <c r="B17" s="29" t="s">
        <v>105</v>
      </c>
    </row>
    <row r="18">
      <c r="A18" s="33"/>
      <c r="B18" s="29" t="s">
        <v>106</v>
      </c>
    </row>
    <row r="19">
      <c r="B19" s="10" t="s">
        <v>107</v>
      </c>
    </row>
    <row r="20">
      <c r="A20" s="33"/>
      <c r="B20" s="29" t="s">
        <v>108</v>
      </c>
    </row>
    <row r="21">
      <c r="A21" s="33"/>
      <c r="B21" s="29" t="s">
        <v>109</v>
      </c>
    </row>
    <row r="22">
      <c r="A22" s="33"/>
      <c r="B22" s="35" t="s">
        <v>110</v>
      </c>
    </row>
    <row r="23">
      <c r="A23" s="33"/>
      <c r="B23" s="29" t="s">
        <v>111</v>
      </c>
    </row>
    <row r="24">
      <c r="A24" s="33" t="s">
        <v>112</v>
      </c>
      <c r="B24" s="29"/>
    </row>
    <row r="25">
      <c r="A25" s="30"/>
      <c r="B25" s="29" t="s">
        <v>113</v>
      </c>
    </row>
    <row r="26">
      <c r="A26" s="33"/>
      <c r="B26" s="32" t="s">
        <v>114</v>
      </c>
    </row>
    <row r="27">
      <c r="A27" s="33"/>
      <c r="B27" s="32" t="s">
        <v>115</v>
      </c>
    </row>
    <row r="28">
      <c r="A28" s="33" t="s">
        <v>116</v>
      </c>
      <c r="B28" s="32"/>
    </row>
    <row r="29">
      <c r="A29" s="30"/>
      <c r="B29" s="32"/>
    </row>
    <row r="30">
      <c r="A30" s="30"/>
      <c r="B30" s="34"/>
    </row>
    <row r="31">
      <c r="A31" s="30"/>
      <c r="B31" s="32" t="s">
        <v>117</v>
      </c>
    </row>
    <row r="32">
      <c r="A32" s="30"/>
      <c r="B32" s="32" t="s">
        <v>118</v>
      </c>
    </row>
    <row r="33">
      <c r="A33" s="33"/>
      <c r="B33" s="32" t="s">
        <v>119</v>
      </c>
    </row>
    <row r="34">
      <c r="A34" s="33"/>
      <c r="B34" s="32" t="s">
        <v>120</v>
      </c>
    </row>
    <row r="35">
      <c r="A35" s="33"/>
      <c r="B35" s="29" t="s">
        <v>121</v>
      </c>
    </row>
    <row r="36">
      <c r="A36" s="33"/>
      <c r="B36" s="29" t="s">
        <v>122</v>
      </c>
    </row>
    <row r="37">
      <c r="A37" s="33" t="s">
        <v>123</v>
      </c>
      <c r="B37" s="29"/>
    </row>
    <row r="38">
      <c r="A38" s="31"/>
      <c r="B38" s="29" t="s">
        <v>124</v>
      </c>
    </row>
    <row r="39">
      <c r="A39" s="31"/>
      <c r="B39" s="29" t="s">
        <v>125</v>
      </c>
    </row>
    <row r="40">
      <c r="A40" s="33"/>
      <c r="B40" s="32"/>
    </row>
    <row r="41">
      <c r="A41" s="33" t="s">
        <v>126</v>
      </c>
      <c r="B41" s="32" t="s">
        <v>127</v>
      </c>
    </row>
    <row r="42">
      <c r="A42" s="31"/>
      <c r="B42" s="32"/>
    </row>
    <row r="43">
      <c r="A43" s="36"/>
      <c r="B43" s="29" t="s">
        <v>128</v>
      </c>
    </row>
    <row r="44">
      <c r="A44" s="36" t="s">
        <v>129</v>
      </c>
      <c r="B44" s="31"/>
    </row>
    <row r="45">
      <c r="A45" s="36"/>
      <c r="B45" s="29"/>
    </row>
    <row r="46">
      <c r="A46" s="31"/>
      <c r="B46" s="29" t="s">
        <v>130</v>
      </c>
    </row>
    <row r="47">
      <c r="A47" s="36" t="s">
        <v>131</v>
      </c>
      <c r="B47" s="34"/>
    </row>
    <row r="48">
      <c r="A48" s="31"/>
      <c r="B48" s="32" t="s">
        <v>132</v>
      </c>
    </row>
    <row r="49">
      <c r="A49" s="33" t="s">
        <v>133</v>
      </c>
      <c r="B49" s="34"/>
    </row>
    <row r="50">
      <c r="B50" s="31"/>
    </row>
    <row r="51">
      <c r="A51" s="37" t="s">
        <v>73</v>
      </c>
      <c r="B51" s="10" t="s">
        <v>134</v>
      </c>
    </row>
    <row r="52">
      <c r="A52" s="37" t="s">
        <v>135</v>
      </c>
      <c r="B52" s="10" t="s">
        <v>136</v>
      </c>
    </row>
    <row r="53">
      <c r="A53" s="37" t="s">
        <v>135</v>
      </c>
      <c r="B53" s="10" t="s">
        <v>137</v>
      </c>
    </row>
    <row r="54">
      <c r="A54" s="37" t="s">
        <v>138</v>
      </c>
      <c r="B54" s="10" t="s">
        <v>79</v>
      </c>
    </row>
    <row r="55">
      <c r="A55" s="37" t="s">
        <v>138</v>
      </c>
      <c r="B55" s="10" t="s">
        <v>80</v>
      </c>
    </row>
    <row r="56">
      <c r="A56" s="37" t="s">
        <v>138</v>
      </c>
      <c r="B56" s="10" t="s">
        <v>82</v>
      </c>
    </row>
    <row r="57">
      <c r="A57" s="37" t="s">
        <v>138</v>
      </c>
      <c r="B57" s="10" t="s">
        <v>139</v>
      </c>
    </row>
    <row r="58">
      <c r="A58" s="37" t="s">
        <v>138</v>
      </c>
      <c r="B58" s="10" t="s">
        <v>84</v>
      </c>
    </row>
    <row r="59">
      <c r="A59" s="37" t="s">
        <v>138</v>
      </c>
      <c r="B59" s="10" t="s">
        <v>78</v>
      </c>
    </row>
    <row r="60">
      <c r="A60" s="10" t="s">
        <v>138</v>
      </c>
      <c r="B60" s="10" t="s">
        <v>83</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8" t="s">
        <v>140</v>
      </c>
      <c r="B1" s="38" t="s">
        <v>141</v>
      </c>
    </row>
    <row r="2">
      <c r="A2" s="39"/>
      <c r="B2" s="40"/>
    </row>
    <row r="3">
      <c r="A3" s="41" t="s">
        <v>142</v>
      </c>
      <c r="B3" s="41" t="s">
        <v>142</v>
      </c>
    </row>
  </sheetData>
  <mergeCells count="2">
    <mergeCell ref="A3:A20"/>
    <mergeCell ref="B3:B2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2" t="s">
        <v>143</v>
      </c>
      <c r="B1" s="42" t="s">
        <v>144</v>
      </c>
    </row>
    <row r="2">
      <c r="A2" s="3"/>
      <c r="B2" s="3"/>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3" t="s">
        <v>145</v>
      </c>
      <c r="B1" s="4" t="s">
        <v>146</v>
      </c>
    </row>
    <row r="2">
      <c r="A2" s="44">
        <v>1.0</v>
      </c>
      <c r="B2" s="2" t="s">
        <v>147</v>
      </c>
    </row>
    <row r="3">
      <c r="A3" s="44">
        <f t="shared" ref="A3:A16" si="1">A2+1</f>
        <v>2</v>
      </c>
      <c r="B3" s="2" t="s">
        <v>147</v>
      </c>
    </row>
    <row r="4">
      <c r="A4" s="44">
        <f t="shared" si="1"/>
        <v>3</v>
      </c>
      <c r="B4" s="2" t="s">
        <v>147</v>
      </c>
    </row>
    <row r="5">
      <c r="A5" s="44">
        <f t="shared" si="1"/>
        <v>4</v>
      </c>
      <c r="B5" s="10" t="s">
        <v>148</v>
      </c>
    </row>
    <row r="6">
      <c r="A6" s="44">
        <f t="shared" si="1"/>
        <v>5</v>
      </c>
      <c r="B6" s="2" t="s">
        <v>149</v>
      </c>
    </row>
    <row r="7">
      <c r="A7" s="44">
        <f t="shared" si="1"/>
        <v>6</v>
      </c>
      <c r="B7" s="3"/>
    </row>
    <row r="8">
      <c r="A8" s="44">
        <f t="shared" si="1"/>
        <v>7</v>
      </c>
      <c r="B8" s="3"/>
    </row>
    <row r="9">
      <c r="A9" s="44">
        <f t="shared" si="1"/>
        <v>8</v>
      </c>
      <c r="B9" s="3"/>
    </row>
    <row r="10">
      <c r="A10" s="44">
        <f t="shared" si="1"/>
        <v>9</v>
      </c>
      <c r="B10" s="3"/>
    </row>
    <row r="11">
      <c r="A11" s="44">
        <f t="shared" si="1"/>
        <v>10</v>
      </c>
      <c r="B11" s="3"/>
    </row>
    <row r="12">
      <c r="A12" s="44">
        <f t="shared" si="1"/>
        <v>11</v>
      </c>
      <c r="B12" s="3"/>
    </row>
    <row r="13">
      <c r="A13" s="44">
        <f t="shared" si="1"/>
        <v>12</v>
      </c>
      <c r="B13" s="3"/>
    </row>
    <row r="14">
      <c r="A14" s="44">
        <f t="shared" si="1"/>
        <v>13</v>
      </c>
      <c r="B14" s="3"/>
    </row>
    <row r="15">
      <c r="A15" s="44">
        <f t="shared" si="1"/>
        <v>14</v>
      </c>
      <c r="B15" s="3"/>
    </row>
    <row r="16">
      <c r="A16" s="44">
        <f t="shared" si="1"/>
        <v>15</v>
      </c>
      <c r="B16" s="3"/>
    </row>
    <row r="17">
      <c r="A17" s="44"/>
      <c r="B17" s="3"/>
    </row>
    <row r="18">
      <c r="A18" s="44"/>
      <c r="B18" s="3"/>
    </row>
    <row r="19">
      <c r="A19" s="45"/>
      <c r="B19" s="3"/>
    </row>
    <row r="20">
      <c r="A20" s="45"/>
      <c r="B20" s="3"/>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3" t="s">
        <v>145</v>
      </c>
      <c r="B1" s="4" t="s">
        <v>150</v>
      </c>
    </row>
    <row r="2">
      <c r="A2" s="44">
        <v>1.0</v>
      </c>
      <c r="B2" s="2"/>
    </row>
    <row r="3">
      <c r="A3" s="44">
        <f t="shared" ref="A3:A16" si="1">A2+1</f>
        <v>2</v>
      </c>
      <c r="B3" s="2"/>
    </row>
    <row r="4">
      <c r="A4" s="44">
        <f t="shared" si="1"/>
        <v>3</v>
      </c>
      <c r="B4" s="2"/>
    </row>
    <row r="5">
      <c r="A5" s="44">
        <f t="shared" si="1"/>
        <v>4</v>
      </c>
    </row>
    <row r="6">
      <c r="A6" s="44">
        <f t="shared" si="1"/>
        <v>5</v>
      </c>
      <c r="B6" s="2"/>
    </row>
    <row r="7">
      <c r="A7" s="44">
        <f t="shared" si="1"/>
        <v>6</v>
      </c>
      <c r="B7" s="3"/>
    </row>
    <row r="8">
      <c r="A8" s="44">
        <f t="shared" si="1"/>
        <v>7</v>
      </c>
      <c r="B8" s="3"/>
    </row>
    <row r="9">
      <c r="A9" s="44">
        <f t="shared" si="1"/>
        <v>8</v>
      </c>
      <c r="B9" s="3"/>
    </row>
    <row r="10">
      <c r="A10" s="44">
        <f t="shared" si="1"/>
        <v>9</v>
      </c>
      <c r="B10" s="3"/>
    </row>
    <row r="11">
      <c r="A11" s="44">
        <f t="shared" si="1"/>
        <v>10</v>
      </c>
      <c r="B11" s="3"/>
    </row>
    <row r="12">
      <c r="A12" s="44">
        <f t="shared" si="1"/>
        <v>11</v>
      </c>
      <c r="B12" s="3"/>
    </row>
    <row r="13">
      <c r="A13" s="44">
        <f t="shared" si="1"/>
        <v>12</v>
      </c>
      <c r="B13" s="3"/>
    </row>
    <row r="14">
      <c r="A14" s="44">
        <f t="shared" si="1"/>
        <v>13</v>
      </c>
      <c r="B14" s="3"/>
    </row>
    <row r="15">
      <c r="A15" s="44">
        <f t="shared" si="1"/>
        <v>14</v>
      </c>
      <c r="B15" s="3"/>
    </row>
    <row r="16">
      <c r="A16" s="44">
        <f t="shared" si="1"/>
        <v>15</v>
      </c>
      <c r="B16" s="3"/>
    </row>
    <row r="17">
      <c r="A17" s="44"/>
      <c r="B17" s="3"/>
    </row>
    <row r="18">
      <c r="A18" s="44"/>
      <c r="B18" s="46" t="s">
        <v>151</v>
      </c>
    </row>
    <row r="19">
      <c r="A19" s="45"/>
      <c r="B19" s="3"/>
    </row>
    <row r="20">
      <c r="A20" s="45"/>
      <c r="B20" s="3"/>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38"/>
    <col customWidth="1" min="3" max="3" width="62.63"/>
    <col customWidth="1" min="4" max="7" width="15.75"/>
  </cols>
  <sheetData>
    <row r="1">
      <c r="A1" s="47" t="s">
        <v>152</v>
      </c>
      <c r="B1" s="48" t="s">
        <v>153</v>
      </c>
      <c r="C1" s="49" t="s">
        <v>154</v>
      </c>
      <c r="D1" s="50" t="s">
        <v>155</v>
      </c>
      <c r="E1" s="50" t="s">
        <v>156</v>
      </c>
      <c r="F1" s="50" t="s">
        <v>157</v>
      </c>
      <c r="G1" s="50" t="s">
        <v>158</v>
      </c>
    </row>
    <row r="2">
      <c r="A2" s="51"/>
      <c r="B2" s="52"/>
      <c r="C2" s="34"/>
      <c r="D2" s="34"/>
      <c r="E2" s="34"/>
      <c r="F2" s="34"/>
      <c r="G2" s="34"/>
    </row>
    <row r="3">
      <c r="A3" s="53" t="s">
        <v>159</v>
      </c>
      <c r="B3" s="54"/>
      <c r="C3" s="55"/>
      <c r="D3" s="55"/>
      <c r="E3" s="55"/>
      <c r="F3" s="55"/>
      <c r="G3" s="55"/>
    </row>
    <row r="4">
      <c r="A4" s="51"/>
      <c r="B4" s="52"/>
      <c r="C4" s="34"/>
      <c r="D4" s="34"/>
      <c r="E4" s="34"/>
      <c r="F4" s="34"/>
      <c r="G4" s="34"/>
    </row>
    <row r="5">
      <c r="A5" s="56" t="s">
        <v>160</v>
      </c>
      <c r="B5" s="57"/>
      <c r="C5" s="31"/>
      <c r="D5" s="58">
        <f>sum(D8:D13)</f>
        <v>0</v>
      </c>
      <c r="E5" s="58">
        <f>D5</f>
        <v>0</v>
      </c>
      <c r="F5" s="31"/>
      <c r="G5" s="31"/>
    </row>
    <row r="6">
      <c r="A6" s="51"/>
      <c r="B6" s="52"/>
      <c r="C6" s="34"/>
      <c r="D6" s="34"/>
      <c r="E6" s="34"/>
      <c r="F6" s="34"/>
      <c r="G6" s="34"/>
    </row>
    <row r="7">
      <c r="A7" s="59" t="s">
        <v>161</v>
      </c>
      <c r="B7" s="60"/>
      <c r="C7" s="61"/>
      <c r="D7" s="61"/>
      <c r="E7" s="61"/>
      <c r="F7" s="61"/>
      <c r="G7" s="61"/>
    </row>
    <row r="8">
      <c r="A8" s="51"/>
      <c r="B8" s="52"/>
      <c r="C8" s="34"/>
      <c r="D8" s="34"/>
      <c r="E8" s="62" t="s">
        <v>162</v>
      </c>
      <c r="F8" s="34"/>
      <c r="G8" s="62" t="s">
        <v>163</v>
      </c>
    </row>
    <row r="9">
      <c r="A9" s="63">
        <v>1.0</v>
      </c>
      <c r="B9" s="56"/>
      <c r="C9" s="31"/>
      <c r="D9" s="58">
        <f>sum(D16:D21)</f>
        <v>0</v>
      </c>
      <c r="E9" s="58">
        <f>$D$5</f>
        <v>0</v>
      </c>
      <c r="F9" s="58">
        <f>sum(F16:F21)</f>
        <v>0</v>
      </c>
      <c r="G9" s="58">
        <f>$D$5</f>
        <v>0</v>
      </c>
    </row>
    <row r="10">
      <c r="A10" s="51">
        <f t="shared" ref="A10:A11" si="1">A9+1</f>
        <v>2</v>
      </c>
      <c r="B10" s="52"/>
      <c r="C10" s="34"/>
      <c r="D10" s="64">
        <f>sum(D22:D27)</f>
        <v>0</v>
      </c>
      <c r="E10" s="64">
        <f t="shared" ref="E10:E12" si="2">E9-D9</f>
        <v>0</v>
      </c>
      <c r="F10" s="64">
        <f>sum(F22:F27)</f>
        <v>0</v>
      </c>
      <c r="G10" s="64">
        <f t="shared" ref="G10:G12" si="3">G9-F9</f>
        <v>0</v>
      </c>
    </row>
    <row r="11">
      <c r="A11" s="63">
        <f t="shared" si="1"/>
        <v>3</v>
      </c>
      <c r="B11" s="56"/>
      <c r="C11" s="31"/>
      <c r="D11" s="58">
        <f>sum(D28:D33)</f>
        <v>0</v>
      </c>
      <c r="E11" s="58">
        <f t="shared" si="2"/>
        <v>0</v>
      </c>
      <c r="F11" s="58">
        <f>sum(F28:F33)</f>
        <v>0</v>
      </c>
      <c r="G11" s="58">
        <f t="shared" si="3"/>
        <v>0</v>
      </c>
    </row>
    <row r="12">
      <c r="A12" s="65" t="s">
        <v>5</v>
      </c>
      <c r="B12" s="66"/>
      <c r="C12" s="34"/>
      <c r="D12" s="34"/>
      <c r="E12" s="64">
        <f t="shared" si="2"/>
        <v>0</v>
      </c>
      <c r="F12" s="34"/>
      <c r="G12" s="64">
        <f t="shared" si="3"/>
        <v>0</v>
      </c>
    </row>
    <row r="13">
      <c r="A13" s="63"/>
      <c r="B13" s="56"/>
      <c r="C13" s="31"/>
      <c r="D13" s="31"/>
      <c r="E13" s="31"/>
      <c r="F13" s="31"/>
      <c r="G13" s="31"/>
    </row>
    <row r="14">
      <c r="A14" s="67" t="s">
        <v>164</v>
      </c>
      <c r="B14" s="68"/>
      <c r="C14" s="69"/>
      <c r="D14" s="69"/>
      <c r="E14" s="69"/>
      <c r="F14" s="69"/>
      <c r="G14" s="69"/>
    </row>
    <row r="15">
      <c r="A15" s="63"/>
      <c r="B15" s="56"/>
      <c r="C15" s="31"/>
      <c r="D15" s="31"/>
      <c r="E15" s="31"/>
      <c r="F15" s="31"/>
      <c r="G15" s="31"/>
    </row>
    <row r="16">
      <c r="A16" s="70">
        <f t="shared" ref="A16:B16" si="4">A9</f>
        <v>1</v>
      </c>
      <c r="B16" s="71" t="str">
        <f t="shared" si="4"/>
        <v/>
      </c>
      <c r="C16" s="34"/>
      <c r="D16" s="34"/>
      <c r="E16" s="34"/>
      <c r="F16" s="34"/>
      <c r="G16" s="34"/>
    </row>
    <row r="17">
      <c r="A17" s="63"/>
      <c r="B17" s="72"/>
      <c r="C17" s="31"/>
      <c r="D17" s="31"/>
      <c r="E17" s="31"/>
      <c r="F17" s="31"/>
      <c r="G17" s="31"/>
    </row>
    <row r="18">
      <c r="A18" s="51"/>
      <c r="B18" s="52"/>
      <c r="C18" s="66"/>
      <c r="D18" s="73"/>
      <c r="E18" s="52"/>
      <c r="F18" s="73"/>
      <c r="G18" s="52"/>
    </row>
    <row r="19">
      <c r="A19" s="63"/>
      <c r="B19" s="72"/>
      <c r="C19" s="31"/>
      <c r="D19" s="58"/>
      <c r="E19" s="31"/>
      <c r="F19" s="58"/>
      <c r="G19" s="31"/>
    </row>
    <row r="20">
      <c r="A20" s="74"/>
      <c r="B20" s="66"/>
      <c r="C20" s="66"/>
      <c r="D20" s="64"/>
      <c r="E20" s="66"/>
      <c r="F20" s="64"/>
      <c r="G20" s="66"/>
    </row>
    <row r="21">
      <c r="A21" s="63"/>
      <c r="B21" s="72"/>
      <c r="C21" s="31"/>
      <c r="D21" s="58"/>
      <c r="E21" s="31"/>
      <c r="F21" s="58"/>
      <c r="G21" s="31"/>
    </row>
    <row r="22">
      <c r="A22" s="70">
        <f t="shared" ref="A22:B22" si="5">A10</f>
        <v>2</v>
      </c>
      <c r="B22" s="71" t="str">
        <f t="shared" si="5"/>
        <v/>
      </c>
      <c r="C22" s="34"/>
      <c r="D22" s="34"/>
      <c r="E22" s="34"/>
      <c r="F22" s="34"/>
      <c r="G22" s="34"/>
    </row>
    <row r="23">
      <c r="A23" s="63"/>
      <c r="B23" s="72"/>
      <c r="C23" s="31"/>
      <c r="D23" s="31"/>
      <c r="E23" s="31"/>
      <c r="F23" s="31"/>
      <c r="G23" s="31"/>
    </row>
    <row r="24">
      <c r="A24" s="74"/>
      <c r="B24" s="66"/>
      <c r="C24" s="66"/>
      <c r="D24" s="64"/>
      <c r="E24" s="66"/>
      <c r="F24" s="64"/>
      <c r="G24" s="66"/>
    </row>
    <row r="25">
      <c r="A25" s="63"/>
      <c r="B25" s="72"/>
      <c r="C25" s="31"/>
      <c r="D25" s="58"/>
      <c r="E25" s="31"/>
      <c r="F25" s="58"/>
      <c r="G25" s="31"/>
    </row>
    <row r="26">
      <c r="A26" s="74"/>
      <c r="B26" s="66"/>
      <c r="C26" s="66"/>
      <c r="D26" s="64"/>
      <c r="E26" s="66"/>
      <c r="F26" s="64"/>
      <c r="G26" s="66"/>
    </row>
    <row r="27">
      <c r="A27" s="63"/>
      <c r="B27" s="72"/>
      <c r="C27" s="31"/>
      <c r="D27" s="58"/>
      <c r="E27" s="31"/>
      <c r="F27" s="58"/>
      <c r="G27" s="31"/>
    </row>
    <row r="28">
      <c r="A28" s="70">
        <f t="shared" ref="A28:B28" si="6">A11</f>
        <v>3</v>
      </c>
      <c r="B28" s="71" t="str">
        <f t="shared" si="6"/>
        <v/>
      </c>
      <c r="C28" s="34"/>
      <c r="D28" s="34"/>
      <c r="E28" s="34"/>
      <c r="F28" s="34"/>
      <c r="G28" s="34"/>
    </row>
    <row r="29">
      <c r="A29" s="63"/>
      <c r="B29" s="72"/>
      <c r="C29" s="31"/>
      <c r="D29" s="31"/>
      <c r="E29" s="31"/>
      <c r="F29" s="31"/>
      <c r="G29" s="31"/>
    </row>
    <row r="30">
      <c r="A30" s="74"/>
      <c r="B30" s="66"/>
      <c r="C30" s="66"/>
      <c r="D30" s="64"/>
      <c r="E30" s="66"/>
      <c r="F30" s="66"/>
      <c r="G30" s="66"/>
    </row>
    <row r="31">
      <c r="A31" s="63"/>
      <c r="B31" s="72"/>
      <c r="C31" s="31"/>
      <c r="D31" s="58"/>
      <c r="E31" s="31"/>
      <c r="F31" s="31"/>
      <c r="G31" s="31"/>
    </row>
    <row r="32">
      <c r="A32" s="74"/>
      <c r="B32" s="66"/>
      <c r="C32" s="34"/>
      <c r="D32" s="64"/>
      <c r="E32" s="66"/>
      <c r="F32" s="66"/>
      <c r="G32" s="66"/>
    </row>
    <row r="33">
      <c r="A33" s="63"/>
      <c r="B33" s="72"/>
      <c r="C33" s="75" t="s">
        <v>165</v>
      </c>
      <c r="D33" s="58"/>
      <c r="E33" s="31"/>
      <c r="F33" s="31"/>
      <c r="G33" s="31"/>
    </row>
    <row r="34">
      <c r="A34" s="74"/>
      <c r="B34" s="66"/>
      <c r="C34" s="34"/>
      <c r="D34" s="34"/>
      <c r="E34" s="34"/>
      <c r="F34" s="34"/>
      <c r="G34" s="34"/>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38"/>
    <col customWidth="1" min="3" max="3" width="62.63"/>
    <col customWidth="1" min="4" max="7" width="15.75"/>
  </cols>
  <sheetData>
    <row r="1">
      <c r="A1" s="47" t="s">
        <v>152</v>
      </c>
      <c r="B1" s="76" t="s">
        <v>153</v>
      </c>
      <c r="C1" s="49" t="s">
        <v>154</v>
      </c>
      <c r="D1" s="50" t="s">
        <v>155</v>
      </c>
      <c r="E1" s="50" t="s">
        <v>156</v>
      </c>
      <c r="F1" s="50" t="s">
        <v>157</v>
      </c>
      <c r="G1" s="50" t="s">
        <v>158</v>
      </c>
    </row>
    <row r="2">
      <c r="A2" s="51"/>
      <c r="B2" s="34"/>
      <c r="C2" s="34"/>
      <c r="D2" s="34"/>
      <c r="E2" s="34"/>
      <c r="F2" s="34"/>
      <c r="G2" s="34"/>
    </row>
    <row r="3">
      <c r="A3" s="53" t="s">
        <v>159</v>
      </c>
      <c r="B3" s="55"/>
      <c r="C3" s="55"/>
      <c r="D3" s="55"/>
      <c r="E3" s="55"/>
      <c r="F3" s="55"/>
      <c r="G3" s="55"/>
    </row>
    <row r="4">
      <c r="A4" s="51"/>
      <c r="B4" s="34"/>
      <c r="C4" s="34"/>
      <c r="D4" s="34"/>
      <c r="E4" s="34"/>
      <c r="F4" s="34"/>
      <c r="G4" s="34"/>
    </row>
    <row r="5">
      <c r="A5" s="56" t="s">
        <v>160</v>
      </c>
      <c r="B5" s="31"/>
      <c r="C5" s="31"/>
      <c r="D5" s="58">
        <f>sum(D8:D13)</f>
        <v>0</v>
      </c>
      <c r="E5" s="58">
        <f>D5</f>
        <v>0</v>
      </c>
      <c r="F5" s="31"/>
      <c r="G5" s="31"/>
    </row>
    <row r="6">
      <c r="A6" s="51"/>
      <c r="B6" s="34"/>
      <c r="C6" s="34"/>
      <c r="D6" s="34"/>
      <c r="E6" s="34"/>
      <c r="F6" s="34"/>
      <c r="G6" s="34"/>
    </row>
    <row r="7">
      <c r="A7" s="59" t="s">
        <v>161</v>
      </c>
      <c r="B7" s="77"/>
      <c r="C7" s="61"/>
      <c r="D7" s="61"/>
      <c r="E7" s="61"/>
      <c r="F7" s="61"/>
      <c r="G7" s="61"/>
    </row>
    <row r="8">
      <c r="A8" s="51"/>
      <c r="B8" s="34"/>
      <c r="C8" s="34"/>
      <c r="D8" s="34"/>
      <c r="E8" s="62" t="s">
        <v>162</v>
      </c>
      <c r="F8" s="34"/>
      <c r="G8" s="62" t="s">
        <v>163</v>
      </c>
    </row>
    <row r="9">
      <c r="A9" s="63">
        <v>1.0</v>
      </c>
      <c r="B9" s="31"/>
      <c r="C9" s="31"/>
      <c r="D9" s="58">
        <f>sum(D16:D21)</f>
        <v>0</v>
      </c>
      <c r="E9" s="58">
        <f>$D$5</f>
        <v>0</v>
      </c>
      <c r="F9" s="58">
        <f>sum(F16:F21)</f>
        <v>0</v>
      </c>
      <c r="G9" s="58">
        <f>$D$5</f>
        <v>0</v>
      </c>
    </row>
    <row r="10">
      <c r="A10" s="51">
        <f t="shared" ref="A10:A11" si="1">A9+1</f>
        <v>2</v>
      </c>
      <c r="B10" s="34"/>
      <c r="C10" s="34"/>
      <c r="D10" s="64">
        <f>sum(D22:D27)</f>
        <v>0</v>
      </c>
      <c r="E10" s="64">
        <f t="shared" ref="E10:E12" si="2">E9-D9</f>
        <v>0</v>
      </c>
      <c r="F10" s="64">
        <f>sum(F22:F27)</f>
        <v>0</v>
      </c>
      <c r="G10" s="64">
        <f t="shared" ref="G10:G12" si="3">G9-F9</f>
        <v>0</v>
      </c>
    </row>
    <row r="11">
      <c r="A11" s="63">
        <f t="shared" si="1"/>
        <v>3</v>
      </c>
      <c r="B11" s="31"/>
      <c r="C11" s="31"/>
      <c r="D11" s="58">
        <f>sum(D28:D33)</f>
        <v>0</v>
      </c>
      <c r="E11" s="58">
        <f t="shared" si="2"/>
        <v>0</v>
      </c>
      <c r="F11" s="58">
        <f>sum(F28:F33)</f>
        <v>0</v>
      </c>
      <c r="G11" s="58">
        <f t="shared" si="3"/>
        <v>0</v>
      </c>
    </row>
    <row r="12">
      <c r="A12" s="65" t="s">
        <v>5</v>
      </c>
      <c r="B12" s="34"/>
      <c r="C12" s="34"/>
      <c r="D12" s="34"/>
      <c r="E12" s="64">
        <f t="shared" si="2"/>
        <v>0</v>
      </c>
      <c r="F12" s="34"/>
      <c r="G12" s="64">
        <f t="shared" si="3"/>
        <v>0</v>
      </c>
    </row>
    <row r="13">
      <c r="A13" s="63"/>
      <c r="B13" s="31"/>
      <c r="C13" s="31"/>
      <c r="D13" s="31"/>
      <c r="E13" s="31"/>
      <c r="F13" s="31"/>
      <c r="G13" s="31"/>
    </row>
    <row r="14">
      <c r="A14" s="67" t="s">
        <v>164</v>
      </c>
      <c r="B14" s="68"/>
      <c r="C14" s="69"/>
      <c r="D14" s="69"/>
      <c r="E14" s="69"/>
      <c r="F14" s="69"/>
      <c r="G14" s="69"/>
    </row>
    <row r="15">
      <c r="A15" s="63"/>
      <c r="B15" s="31"/>
      <c r="C15" s="31"/>
      <c r="D15" s="31"/>
      <c r="E15" s="31"/>
      <c r="F15" s="31"/>
      <c r="G15" s="31"/>
    </row>
    <row r="16">
      <c r="A16" s="70">
        <f>A9</f>
        <v>1</v>
      </c>
      <c r="B16" s="34"/>
      <c r="C16" s="34"/>
      <c r="D16" s="34"/>
      <c r="E16" s="34"/>
      <c r="F16" s="34"/>
      <c r="G16" s="34"/>
    </row>
    <row r="17">
      <c r="A17" s="63"/>
      <c r="B17" s="72"/>
      <c r="C17" s="31"/>
      <c r="D17" s="31"/>
      <c r="E17" s="31"/>
      <c r="F17" s="31"/>
      <c r="G17" s="31"/>
    </row>
    <row r="18">
      <c r="A18" s="51"/>
      <c r="B18" s="78"/>
      <c r="C18" s="66"/>
      <c r="D18" s="73"/>
      <c r="E18" s="52"/>
      <c r="F18" s="73"/>
      <c r="G18" s="52"/>
    </row>
    <row r="19">
      <c r="A19" s="63"/>
      <c r="B19" s="31"/>
      <c r="C19" s="31"/>
      <c r="D19" s="58"/>
      <c r="E19" s="31"/>
      <c r="F19" s="58"/>
      <c r="G19" s="31"/>
    </row>
    <row r="20">
      <c r="A20" s="74"/>
      <c r="B20" s="34"/>
      <c r="C20" s="66"/>
      <c r="D20" s="64"/>
      <c r="E20" s="66"/>
      <c r="F20" s="64"/>
      <c r="G20" s="66"/>
    </row>
    <row r="21">
      <c r="A21" s="63"/>
      <c r="B21" s="31"/>
      <c r="C21" s="31"/>
      <c r="D21" s="58"/>
      <c r="E21" s="31"/>
      <c r="F21" s="58"/>
      <c r="G21" s="31"/>
    </row>
    <row r="22">
      <c r="A22" s="70">
        <f>A10</f>
        <v>2</v>
      </c>
      <c r="B22" s="34"/>
      <c r="C22" s="34"/>
      <c r="D22" s="34"/>
      <c r="E22" s="34"/>
      <c r="F22" s="34"/>
      <c r="G22" s="34"/>
    </row>
    <row r="23">
      <c r="A23" s="63"/>
      <c r="B23" s="72"/>
      <c r="C23" s="31"/>
      <c r="D23" s="31"/>
      <c r="E23" s="31"/>
      <c r="F23" s="31"/>
      <c r="G23" s="31"/>
    </row>
    <row r="24">
      <c r="A24" s="74"/>
      <c r="B24" s="34"/>
      <c r="C24" s="66"/>
      <c r="D24" s="64"/>
      <c r="E24" s="66"/>
      <c r="F24" s="64"/>
      <c r="G24" s="66"/>
    </row>
    <row r="25">
      <c r="A25" s="63"/>
      <c r="B25" s="31"/>
      <c r="C25" s="31"/>
      <c r="D25" s="58"/>
      <c r="E25" s="31"/>
      <c r="F25" s="58"/>
      <c r="G25" s="31"/>
    </row>
    <row r="26">
      <c r="A26" s="74"/>
      <c r="B26" s="34"/>
      <c r="C26" s="66"/>
      <c r="D26" s="64"/>
      <c r="E26" s="66"/>
      <c r="F26" s="64"/>
      <c r="G26" s="66"/>
    </row>
    <row r="27">
      <c r="A27" s="63"/>
      <c r="B27" s="31"/>
      <c r="C27" s="31"/>
      <c r="D27" s="58"/>
      <c r="E27" s="31"/>
      <c r="F27" s="58"/>
      <c r="G27" s="31"/>
    </row>
    <row r="28">
      <c r="A28" s="70">
        <f>A11</f>
        <v>3</v>
      </c>
      <c r="B28" s="34"/>
      <c r="C28" s="34"/>
      <c r="D28" s="34"/>
      <c r="E28" s="34"/>
      <c r="F28" s="34"/>
      <c r="G28" s="34"/>
    </row>
    <row r="29">
      <c r="A29" s="63"/>
      <c r="B29" s="72"/>
      <c r="C29" s="31"/>
      <c r="D29" s="31"/>
      <c r="E29" s="31"/>
      <c r="F29" s="31"/>
      <c r="G29" s="31"/>
    </row>
    <row r="30">
      <c r="A30" s="74"/>
      <c r="B30" s="34"/>
      <c r="C30" s="66"/>
      <c r="D30" s="64"/>
      <c r="E30" s="66"/>
      <c r="F30" s="66"/>
      <c r="G30" s="66"/>
    </row>
    <row r="31">
      <c r="A31" s="63"/>
      <c r="B31" s="31"/>
      <c r="C31" s="31"/>
      <c r="D31" s="58"/>
      <c r="E31" s="31"/>
      <c r="F31" s="31"/>
      <c r="G31" s="31"/>
    </row>
    <row r="32">
      <c r="A32" s="74"/>
      <c r="B32" s="34"/>
      <c r="C32" s="34"/>
      <c r="D32" s="64"/>
      <c r="E32" s="66"/>
      <c r="F32" s="66"/>
      <c r="G32" s="66"/>
    </row>
    <row r="33">
      <c r="A33" s="63"/>
      <c r="B33" s="31"/>
      <c r="C33" s="75" t="s">
        <v>165</v>
      </c>
      <c r="D33" s="58"/>
      <c r="E33" s="31"/>
      <c r="F33" s="31"/>
      <c r="G33" s="31"/>
    </row>
    <row r="34">
      <c r="A34" s="74"/>
      <c r="B34" s="34"/>
      <c r="C34" s="34"/>
      <c r="D34" s="34"/>
      <c r="E34" s="34"/>
      <c r="F34" s="34"/>
      <c r="G34" s="34"/>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4" width="40.13"/>
  </cols>
  <sheetData>
    <row r="1">
      <c r="A1" s="79" t="s">
        <v>67</v>
      </c>
      <c r="B1" s="48" t="s">
        <v>166</v>
      </c>
      <c r="C1" s="48" t="s">
        <v>167</v>
      </c>
      <c r="D1" s="80" t="s">
        <v>168</v>
      </c>
    </row>
    <row r="2">
      <c r="A2" s="3"/>
      <c r="B2" s="3"/>
      <c r="C2" s="3"/>
      <c r="D2" s="3"/>
    </row>
    <row r="3">
      <c r="A3" s="3"/>
      <c r="B3" s="3"/>
      <c r="C3" s="3"/>
      <c r="D3" s="3"/>
    </row>
    <row r="4">
      <c r="A4" s="3"/>
      <c r="B4" s="3"/>
      <c r="C4" s="3"/>
      <c r="D4" s="3"/>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169</v>
      </c>
      <c r="B1" s="4" t="s">
        <v>170</v>
      </c>
    </row>
    <row r="2">
      <c r="A2" s="3"/>
      <c r="B2" s="3"/>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5.13"/>
    <col customWidth="1" min="3" max="3" width="37.63"/>
    <col customWidth="1" min="4" max="4" width="10.5"/>
    <col customWidth="1" min="5" max="5" width="12.63"/>
    <col customWidth="1" min="6" max="6" width="37.63"/>
  </cols>
  <sheetData>
    <row r="1">
      <c r="A1" s="8" t="s">
        <v>67</v>
      </c>
      <c r="B1" s="4" t="s">
        <v>171</v>
      </c>
      <c r="C1" s="4" t="s">
        <v>172</v>
      </c>
      <c r="D1" s="4" t="s">
        <v>173</v>
      </c>
      <c r="E1" s="4" t="s">
        <v>174</v>
      </c>
      <c r="F1" s="4" t="s">
        <v>74</v>
      </c>
    </row>
    <row r="2">
      <c r="A2" s="3"/>
      <c r="B2" s="2" t="s">
        <v>175</v>
      </c>
      <c r="C2" s="2" t="s">
        <v>176</v>
      </c>
      <c r="D2" s="2" t="s">
        <v>177</v>
      </c>
      <c r="E2" s="2" t="s">
        <v>178</v>
      </c>
      <c r="F2" s="2" t="s">
        <v>179</v>
      </c>
    </row>
    <row r="3">
      <c r="A3" s="3"/>
      <c r="B3" s="2" t="s">
        <v>175</v>
      </c>
      <c r="C3" s="2" t="s">
        <v>180</v>
      </c>
      <c r="D3" s="2" t="s">
        <v>181</v>
      </c>
      <c r="E3" s="2" t="s">
        <v>178</v>
      </c>
      <c r="F3" s="3"/>
    </row>
    <row r="4">
      <c r="A4" s="3"/>
      <c r="B4" s="2" t="s">
        <v>175</v>
      </c>
      <c r="C4" s="2" t="s">
        <v>182</v>
      </c>
      <c r="D4" s="2" t="s">
        <v>183</v>
      </c>
      <c r="E4" s="2" t="s">
        <v>178</v>
      </c>
      <c r="F4" s="3"/>
    </row>
    <row r="5">
      <c r="A5" s="3"/>
      <c r="B5" s="2" t="s">
        <v>175</v>
      </c>
      <c r="C5" s="2" t="s">
        <v>184</v>
      </c>
      <c r="D5" s="2" t="s">
        <v>185</v>
      </c>
      <c r="E5" s="2" t="s">
        <v>178</v>
      </c>
      <c r="F5" s="3"/>
    </row>
    <row r="6">
      <c r="A6" s="3"/>
      <c r="B6" s="2" t="s">
        <v>175</v>
      </c>
      <c r="C6" s="2" t="s">
        <v>186</v>
      </c>
      <c r="D6" s="2" t="s">
        <v>185</v>
      </c>
      <c r="E6" s="2" t="s">
        <v>178</v>
      </c>
      <c r="F6" s="3"/>
    </row>
    <row r="7">
      <c r="A7" s="3"/>
      <c r="B7" s="2" t="s">
        <v>175</v>
      </c>
      <c r="C7" s="2" t="s">
        <v>187</v>
      </c>
      <c r="D7" s="2" t="s">
        <v>188</v>
      </c>
      <c r="E7" s="2" t="s">
        <v>178</v>
      </c>
      <c r="F7" s="3"/>
    </row>
    <row r="8">
      <c r="A8" s="3"/>
      <c r="B8" s="2" t="s">
        <v>175</v>
      </c>
      <c r="C8" s="2" t="s">
        <v>189</v>
      </c>
      <c r="D8" s="2" t="s">
        <v>190</v>
      </c>
      <c r="E8" s="2" t="s">
        <v>178</v>
      </c>
      <c r="F8" s="3"/>
    </row>
    <row r="9">
      <c r="A9" s="3"/>
      <c r="B9" s="2" t="s">
        <v>175</v>
      </c>
      <c r="C9" s="2" t="s">
        <v>191</v>
      </c>
      <c r="D9" s="2" t="s">
        <v>188</v>
      </c>
      <c r="E9" s="2" t="s">
        <v>178</v>
      </c>
      <c r="F9" s="3"/>
    </row>
    <row r="10">
      <c r="A10" s="3"/>
      <c r="B10" s="2" t="s">
        <v>175</v>
      </c>
      <c r="C10" s="2" t="s">
        <v>192</v>
      </c>
      <c r="D10" s="2" t="s">
        <v>193</v>
      </c>
      <c r="E10" s="2" t="s">
        <v>178</v>
      </c>
      <c r="F10" s="3"/>
    </row>
    <row r="11">
      <c r="A11" s="3"/>
      <c r="B11" s="2" t="s">
        <v>175</v>
      </c>
      <c r="C11" s="2" t="s">
        <v>194</v>
      </c>
      <c r="D11" s="2" t="s">
        <v>195</v>
      </c>
      <c r="E11" s="2" t="s">
        <v>178</v>
      </c>
      <c r="F11" s="3"/>
    </row>
    <row r="12">
      <c r="A12" s="3"/>
      <c r="B12" s="2" t="s">
        <v>175</v>
      </c>
      <c r="C12" s="2" t="s">
        <v>196</v>
      </c>
      <c r="D12" s="2" t="s">
        <v>197</v>
      </c>
      <c r="E12" s="2" t="s">
        <v>178</v>
      </c>
      <c r="F12" s="3"/>
    </row>
    <row r="13">
      <c r="A13" s="3"/>
      <c r="B13" s="2" t="s">
        <v>175</v>
      </c>
      <c r="C13" s="2" t="s">
        <v>198</v>
      </c>
      <c r="D13" s="2" t="s">
        <v>199</v>
      </c>
      <c r="E13" s="2" t="s">
        <v>178</v>
      </c>
      <c r="F13" s="3"/>
    </row>
    <row r="14">
      <c r="A14" s="3"/>
      <c r="B14" s="2" t="s">
        <v>175</v>
      </c>
      <c r="C14" s="2" t="s">
        <v>200</v>
      </c>
      <c r="D14" s="2" t="s">
        <v>201</v>
      </c>
      <c r="E14" s="2" t="s">
        <v>178</v>
      </c>
      <c r="F14" s="3"/>
    </row>
    <row r="15">
      <c r="A15" s="3"/>
      <c r="B15" s="2" t="s">
        <v>175</v>
      </c>
      <c r="C15" s="2" t="s">
        <v>202</v>
      </c>
      <c r="D15" s="2" t="s">
        <v>193</v>
      </c>
      <c r="E15" s="2" t="s">
        <v>178</v>
      </c>
      <c r="F15" s="3"/>
    </row>
    <row r="16">
      <c r="A16" s="3"/>
      <c r="B16" s="2" t="s">
        <v>175</v>
      </c>
      <c r="C16" s="2" t="s">
        <v>203</v>
      </c>
      <c r="D16" s="2" t="s">
        <v>204</v>
      </c>
      <c r="E16" s="2" t="s">
        <v>178</v>
      </c>
      <c r="F16" s="3"/>
    </row>
    <row r="17">
      <c r="A17" s="3"/>
      <c r="B17" s="2" t="s">
        <v>175</v>
      </c>
      <c r="C17" s="2" t="s">
        <v>205</v>
      </c>
      <c r="D17" s="2" t="s">
        <v>206</v>
      </c>
      <c r="E17" s="2" t="s">
        <v>178</v>
      </c>
      <c r="F17" s="3"/>
    </row>
    <row r="18">
      <c r="A18" s="3"/>
      <c r="B18" s="2" t="s">
        <v>175</v>
      </c>
      <c r="C18" s="2" t="s">
        <v>207</v>
      </c>
      <c r="D18" s="2" t="s">
        <v>208</v>
      </c>
      <c r="E18" s="2" t="s">
        <v>178</v>
      </c>
      <c r="F18" s="3"/>
    </row>
    <row r="19">
      <c r="A19" s="3"/>
      <c r="B19" s="2" t="s">
        <v>175</v>
      </c>
      <c r="C19" s="2" t="s">
        <v>209</v>
      </c>
      <c r="D19" s="2" t="s">
        <v>210</v>
      </c>
      <c r="E19" s="2" t="s">
        <v>178</v>
      </c>
      <c r="F19" s="3"/>
    </row>
    <row r="20">
      <c r="A20" s="3"/>
      <c r="B20" s="2" t="s">
        <v>175</v>
      </c>
      <c r="C20" s="2" t="s">
        <v>211</v>
      </c>
      <c r="D20" s="2" t="s">
        <v>188</v>
      </c>
      <c r="E20" s="2" t="s">
        <v>178</v>
      </c>
      <c r="F20" s="3"/>
    </row>
    <row r="21">
      <c r="A21" s="3"/>
      <c r="B21" s="2" t="s">
        <v>175</v>
      </c>
      <c r="C21" s="2" t="s">
        <v>212</v>
      </c>
      <c r="D21" s="2" t="s">
        <v>190</v>
      </c>
      <c r="E21" s="2" t="s">
        <v>178</v>
      </c>
      <c r="F21" s="3"/>
    </row>
    <row r="22">
      <c r="A22" s="3"/>
      <c r="B22" s="2" t="s">
        <v>175</v>
      </c>
      <c r="C22" s="2" t="s">
        <v>213</v>
      </c>
      <c r="D22" s="2" t="s">
        <v>214</v>
      </c>
      <c r="E22" s="2" t="s">
        <v>178</v>
      </c>
      <c r="F22" s="3"/>
    </row>
    <row r="23">
      <c r="A23" s="3"/>
      <c r="B23" s="2" t="s">
        <v>175</v>
      </c>
      <c r="C23" s="2" t="s">
        <v>215</v>
      </c>
      <c r="D23" s="2" t="s">
        <v>214</v>
      </c>
      <c r="E23" s="2" t="s">
        <v>178</v>
      </c>
      <c r="F23" s="3"/>
    </row>
    <row r="24">
      <c r="A24" s="3"/>
      <c r="B24" s="2" t="s">
        <v>175</v>
      </c>
      <c r="C24" s="2" t="s">
        <v>216</v>
      </c>
      <c r="D24" s="2" t="s">
        <v>217</v>
      </c>
      <c r="E24" s="2" t="s">
        <v>178</v>
      </c>
      <c r="F24" s="3"/>
    </row>
    <row r="25">
      <c r="A25" s="3"/>
      <c r="B25" s="2" t="s">
        <v>175</v>
      </c>
      <c r="C25" s="2" t="s">
        <v>218</v>
      </c>
      <c r="D25" s="2" t="s">
        <v>219</v>
      </c>
      <c r="E25" s="2" t="s">
        <v>178</v>
      </c>
      <c r="F25" s="3"/>
    </row>
    <row r="26">
      <c r="A26" s="3"/>
      <c r="B26" s="2" t="s">
        <v>175</v>
      </c>
      <c r="C26" s="2" t="s">
        <v>220</v>
      </c>
      <c r="D26" s="2" t="s">
        <v>221</v>
      </c>
      <c r="E26" s="2" t="s">
        <v>178</v>
      </c>
      <c r="F26" s="3"/>
    </row>
    <row r="27">
      <c r="A27" s="3"/>
      <c r="B27" s="2" t="s">
        <v>175</v>
      </c>
      <c r="C27" s="2" t="s">
        <v>222</v>
      </c>
      <c r="D27" s="2" t="s">
        <v>223</v>
      </c>
      <c r="E27" s="2" t="s">
        <v>178</v>
      </c>
      <c r="F27" s="3"/>
    </row>
    <row r="28">
      <c r="A28" s="3"/>
      <c r="B28" s="2" t="s">
        <v>175</v>
      </c>
      <c r="C28" s="2" t="s">
        <v>224</v>
      </c>
      <c r="D28" s="2" t="s">
        <v>225</v>
      </c>
      <c r="E28" s="2" t="s">
        <v>178</v>
      </c>
      <c r="F28" s="3"/>
    </row>
    <row r="29">
      <c r="A29" s="3"/>
      <c r="B29" s="2" t="s">
        <v>175</v>
      </c>
      <c r="C29" s="2" t="s">
        <v>226</v>
      </c>
      <c r="D29" s="2" t="s">
        <v>227</v>
      </c>
      <c r="E29" s="2" t="s">
        <v>178</v>
      </c>
      <c r="F29" s="3"/>
    </row>
    <row r="30">
      <c r="A30" s="3"/>
      <c r="B30" s="2" t="s">
        <v>175</v>
      </c>
      <c r="C30" s="2" t="s">
        <v>228</v>
      </c>
      <c r="D30" s="2" t="s">
        <v>229</v>
      </c>
      <c r="E30" s="2" t="s">
        <v>178</v>
      </c>
      <c r="F30" s="3"/>
    </row>
    <row r="31">
      <c r="A31" s="3"/>
      <c r="B31" s="2" t="s">
        <v>175</v>
      </c>
      <c r="C31" s="2" t="s">
        <v>230</v>
      </c>
      <c r="D31" s="2" t="s">
        <v>231</v>
      </c>
      <c r="E31" s="2" t="s">
        <v>178</v>
      </c>
      <c r="F31" s="3"/>
    </row>
    <row r="32">
      <c r="A32" s="3"/>
      <c r="B32" s="2" t="s">
        <v>175</v>
      </c>
      <c r="C32" s="2" t="s">
        <v>232</v>
      </c>
      <c r="D32" s="2" t="s">
        <v>233</v>
      </c>
      <c r="E32" s="2" t="s">
        <v>178</v>
      </c>
      <c r="F32" s="3"/>
    </row>
    <row r="33">
      <c r="A33" s="3"/>
      <c r="B33" s="2" t="s">
        <v>175</v>
      </c>
      <c r="C33" s="2" t="s">
        <v>234</v>
      </c>
      <c r="D33" s="2" t="s">
        <v>185</v>
      </c>
      <c r="E33" s="2" t="s">
        <v>178</v>
      </c>
      <c r="F33" s="3"/>
    </row>
    <row r="34">
      <c r="A34" s="3"/>
      <c r="B34" s="2" t="s">
        <v>175</v>
      </c>
      <c r="C34" s="2" t="s">
        <v>235</v>
      </c>
      <c r="D34" s="2" t="s">
        <v>236</v>
      </c>
      <c r="E34" s="2" t="s">
        <v>178</v>
      </c>
      <c r="F34" s="3"/>
    </row>
    <row r="35">
      <c r="A35" s="3"/>
      <c r="B35" s="2" t="s">
        <v>175</v>
      </c>
      <c r="C35" s="2" t="s">
        <v>237</v>
      </c>
      <c r="D35" s="2" t="s">
        <v>238</v>
      </c>
      <c r="E35" s="2" t="s">
        <v>178</v>
      </c>
      <c r="F35" s="3"/>
    </row>
    <row r="36">
      <c r="A36" s="3"/>
      <c r="B36" s="2" t="s">
        <v>175</v>
      </c>
      <c r="C36" s="2" t="s">
        <v>239</v>
      </c>
      <c r="D36" s="2" t="s">
        <v>240</v>
      </c>
      <c r="E36" s="2" t="s">
        <v>178</v>
      </c>
      <c r="F36" s="3"/>
    </row>
    <row r="37">
      <c r="A37" s="3"/>
      <c r="B37" s="2" t="s">
        <v>175</v>
      </c>
      <c r="C37" s="2" t="s">
        <v>241</v>
      </c>
      <c r="D37" s="2" t="s">
        <v>242</v>
      </c>
      <c r="E37" s="2" t="s">
        <v>178</v>
      </c>
      <c r="F37" s="3"/>
    </row>
    <row r="38">
      <c r="A38" s="3"/>
      <c r="B38" s="2" t="s">
        <v>175</v>
      </c>
      <c r="C38" s="2" t="s">
        <v>243</v>
      </c>
      <c r="D38" s="2" t="s">
        <v>244</v>
      </c>
      <c r="E38" s="2" t="s">
        <v>178</v>
      </c>
      <c r="F38" s="3"/>
    </row>
    <row r="39">
      <c r="A39" s="3"/>
      <c r="B39" s="2" t="s">
        <v>175</v>
      </c>
      <c r="C39" s="2" t="s">
        <v>245</v>
      </c>
      <c r="D39" s="2" t="s">
        <v>246</v>
      </c>
      <c r="E39" s="2" t="s">
        <v>178</v>
      </c>
      <c r="F39" s="3"/>
    </row>
    <row r="40">
      <c r="A40" s="3"/>
      <c r="B40" s="2" t="s">
        <v>175</v>
      </c>
      <c r="C40" s="2" t="s">
        <v>247</v>
      </c>
      <c r="D40" s="2" t="s">
        <v>248</v>
      </c>
      <c r="E40" s="2" t="s">
        <v>178</v>
      </c>
      <c r="F40" s="3"/>
    </row>
    <row r="41">
      <c r="A41" s="3"/>
      <c r="B41" s="2" t="s">
        <v>175</v>
      </c>
      <c r="C41" s="2" t="s">
        <v>249</v>
      </c>
      <c r="D41" s="2" t="s">
        <v>250</v>
      </c>
      <c r="E41" s="2" t="s">
        <v>251</v>
      </c>
      <c r="F41" s="3"/>
    </row>
    <row r="42">
      <c r="A42" s="3"/>
      <c r="B42" s="3"/>
      <c r="C42" s="3"/>
      <c r="D42" s="3"/>
      <c r="E42" s="3"/>
      <c r="F42" s="3"/>
    </row>
    <row r="43">
      <c r="A43" s="3"/>
      <c r="B43" s="3"/>
      <c r="C43" s="3"/>
      <c r="D43" s="3"/>
      <c r="E43" s="3"/>
      <c r="F43" s="3"/>
    </row>
    <row r="44">
      <c r="A44" s="3"/>
      <c r="B44" s="3"/>
      <c r="C44" s="3"/>
      <c r="D44" s="3"/>
      <c r="E44" s="3"/>
      <c r="F44" s="3"/>
    </row>
    <row r="45">
      <c r="A45" s="3"/>
      <c r="B45" s="3"/>
      <c r="C45" s="3"/>
      <c r="D45" s="3"/>
      <c r="E45" s="3"/>
      <c r="F45" s="3"/>
    </row>
    <row r="46">
      <c r="A46" s="3"/>
      <c r="B46" s="3"/>
      <c r="C46" s="3"/>
      <c r="D46" s="3"/>
      <c r="E46" s="3"/>
      <c r="F46" s="3"/>
    </row>
    <row r="47">
      <c r="A47" s="3"/>
      <c r="B47" s="3"/>
      <c r="C47" s="3"/>
      <c r="D47" s="3"/>
      <c r="E47" s="3"/>
      <c r="F47" s="3"/>
    </row>
    <row r="48">
      <c r="A48" s="3"/>
      <c r="B48" s="3"/>
      <c r="C48" s="3"/>
      <c r="D48" s="3"/>
      <c r="E48" s="3"/>
      <c r="F48" s="3"/>
    </row>
    <row r="49">
      <c r="A49" s="3"/>
      <c r="B49" s="3"/>
      <c r="C49" s="3"/>
      <c r="D49" s="3"/>
      <c r="E49" s="3"/>
      <c r="F49" s="3"/>
    </row>
    <row r="50">
      <c r="A50" s="3"/>
      <c r="B50" s="3"/>
      <c r="C50" s="3"/>
      <c r="D50" s="3"/>
      <c r="E50" s="3"/>
      <c r="F50" s="3"/>
    </row>
    <row r="51">
      <c r="A51" s="3"/>
      <c r="B51" s="3"/>
      <c r="C51" s="3"/>
      <c r="D51" s="3"/>
      <c r="E51" s="3"/>
      <c r="F51" s="3"/>
    </row>
    <row r="52">
      <c r="A52" s="3"/>
      <c r="B52" s="3"/>
      <c r="C52" s="3"/>
      <c r="D52" s="3"/>
      <c r="E52" s="3"/>
      <c r="F52" s="3"/>
    </row>
    <row r="53">
      <c r="A53" s="3"/>
      <c r="B53" s="3"/>
      <c r="C53" s="3"/>
      <c r="D53" s="3"/>
      <c r="E53" s="3"/>
      <c r="F53" s="3"/>
    </row>
    <row r="54">
      <c r="A54" s="3"/>
      <c r="B54" s="3"/>
      <c r="C54" s="3"/>
      <c r="D54" s="3"/>
      <c r="E54" s="3"/>
      <c r="F54" s="3"/>
    </row>
    <row r="55">
      <c r="A55" s="3"/>
      <c r="B55" s="3"/>
      <c r="C55" s="3"/>
      <c r="D55" s="3"/>
      <c r="E55" s="3"/>
      <c r="F55" s="3"/>
    </row>
  </sheetData>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81" t="str">
        <f>'Project Team'!A1</f>
        <v>Last Name</v>
      </c>
      <c r="B1" s="81" t="str">
        <f>'Project Team'!B1</f>
        <v>First Name</v>
      </c>
      <c r="C1" s="82" t="s">
        <v>252</v>
      </c>
      <c r="D1" s="83"/>
      <c r="E1" s="84"/>
      <c r="F1" s="85"/>
      <c r="G1" s="86"/>
      <c r="H1" s="86"/>
    </row>
    <row r="2">
      <c r="A2" s="87" t="str">
        <f>'Project Team'!A2</f>
        <v>Brüggemann</v>
      </c>
      <c r="B2" s="87" t="str">
        <f>'Project Team'!B2</f>
        <v>Jonas</v>
      </c>
      <c r="C2" s="88">
        <v>0.0</v>
      </c>
      <c r="D2" s="89"/>
      <c r="E2" s="90">
        <f>average(C2:C10)</f>
        <v>0</v>
      </c>
      <c r="F2" s="91" t="str">
        <f>if(stdev(C2:C7) &gt; 0,"NOK", "OK")</f>
        <v>OK</v>
      </c>
      <c r="G2" s="92"/>
      <c r="H2" s="92"/>
    </row>
    <row r="3">
      <c r="A3" s="93" t="str">
        <f t="shared" ref="A3:B3" si="1">#REF!</f>
        <v>#REF!</v>
      </c>
      <c r="B3" s="93" t="str">
        <f t="shared" si="1"/>
        <v>#REF!</v>
      </c>
      <c r="C3" s="88">
        <v>0.0</v>
      </c>
      <c r="D3" s="94"/>
      <c r="G3" s="95"/>
      <c r="H3" s="95"/>
    </row>
    <row r="4">
      <c r="A4" s="87" t="str">
        <f>'Project Team'!A3</f>
        <v>Ebied</v>
      </c>
      <c r="B4" s="87" t="str">
        <f>'Project Team'!B3</f>
        <v>Andrew</v>
      </c>
      <c r="C4" s="96"/>
      <c r="D4" s="89"/>
      <c r="G4" s="92"/>
      <c r="H4" s="92"/>
    </row>
    <row r="5">
      <c r="A5" s="93" t="str">
        <f>'Project Team'!A4</f>
        <v>Vinzens</v>
      </c>
      <c r="B5" s="93" t="str">
        <f>'Project Team'!B4</f>
        <v>Hannes</v>
      </c>
      <c r="C5" s="97"/>
      <c r="D5" s="98"/>
      <c r="E5" s="98"/>
      <c r="F5" s="98"/>
      <c r="G5" s="95"/>
      <c r="H5" s="95"/>
    </row>
    <row r="6">
      <c r="A6" s="87" t="str">
        <f>'Project Team'!A5</f>
        <v>Ahmed</v>
      </c>
      <c r="B6" s="87" t="str">
        <f>'Project Team'!B5</f>
        <v>Hasnat</v>
      </c>
      <c r="C6" s="96"/>
      <c r="D6" s="99"/>
      <c r="E6" s="100">
        <v>0.0</v>
      </c>
      <c r="F6" s="101" t="s">
        <v>253</v>
      </c>
      <c r="G6" s="92"/>
      <c r="H6" s="92"/>
    </row>
    <row r="7">
      <c r="A7" s="93" t="str">
        <f t="shared" ref="A7:B7" si="2">#REF!</f>
        <v>#REF!</v>
      </c>
      <c r="B7" s="93" t="str">
        <f t="shared" si="2"/>
        <v>#REF!</v>
      </c>
      <c r="C7" s="96"/>
      <c r="D7" s="98"/>
      <c r="E7" s="100">
        <v>1.0</v>
      </c>
      <c r="F7" s="101" t="s">
        <v>254</v>
      </c>
      <c r="G7" s="95"/>
      <c r="H7" s="95"/>
    </row>
    <row r="8">
      <c r="A8" s="87" t="str">
        <f>'Project Team'!A7</f>
        <v>Sandt</v>
      </c>
      <c r="B8" s="87" t="str">
        <f>'Project Team'!B7</f>
        <v>Eloi</v>
      </c>
      <c r="C8" s="97"/>
      <c r="D8" s="99"/>
      <c r="E8" s="100">
        <v>2.0</v>
      </c>
      <c r="F8" s="101" t="s">
        <v>255</v>
      </c>
      <c r="G8" s="92"/>
      <c r="H8" s="92"/>
    </row>
    <row r="9">
      <c r="A9" s="93" t="str">
        <f>'Project Team'!A6</f>
        <v>Busse</v>
      </c>
      <c r="B9" s="93" t="str">
        <f>'Project Team'!B6</f>
        <v>Tobias</v>
      </c>
      <c r="C9" s="97"/>
      <c r="D9" s="98"/>
      <c r="E9" s="100">
        <v>3.0</v>
      </c>
      <c r="F9" s="101" t="s">
        <v>256</v>
      </c>
      <c r="G9" s="95"/>
      <c r="H9" s="95"/>
    </row>
    <row r="10">
      <c r="A10" s="87" t="str">
        <f>'Project Team'!A9</f>
        <v>Zeeshan</v>
      </c>
      <c r="B10" s="87" t="str">
        <f>'Project Team'!B9</f>
        <v>Muhamad</v>
      </c>
      <c r="C10" s="97"/>
      <c r="D10" s="99"/>
      <c r="E10" s="100">
        <v>5.0</v>
      </c>
      <c r="F10" s="101" t="s">
        <v>257</v>
      </c>
      <c r="G10" s="92"/>
      <c r="H10" s="92"/>
    </row>
    <row r="11">
      <c r="A11" s="93" t="str">
        <f>'Project Team'!A10</f>
        <v>Haseeb</v>
      </c>
      <c r="B11" s="93" t="str">
        <f>'Project Team'!B10</f>
        <v>Abdul</v>
      </c>
      <c r="C11" s="96"/>
      <c r="D11" s="98"/>
      <c r="E11" s="100">
        <v>8.0</v>
      </c>
      <c r="F11" s="101" t="s">
        <v>258</v>
      </c>
      <c r="G11" s="95"/>
      <c r="H11" s="95"/>
    </row>
    <row r="12">
      <c r="A12" s="87"/>
      <c r="B12" s="87"/>
      <c r="C12" s="96"/>
      <c r="D12" s="99"/>
      <c r="E12" s="100">
        <v>13.0</v>
      </c>
      <c r="F12" s="101" t="s">
        <v>259</v>
      </c>
      <c r="G12" s="92"/>
      <c r="H12" s="92"/>
    </row>
    <row r="13">
      <c r="A13" s="93"/>
      <c r="B13" s="93"/>
      <c r="C13" s="98"/>
      <c r="D13" s="98"/>
      <c r="E13" s="98"/>
      <c r="F13" s="98"/>
      <c r="G13" s="95"/>
      <c r="H13" s="95"/>
    </row>
    <row r="14">
      <c r="A14" s="102" t="s">
        <v>260</v>
      </c>
      <c r="B14" s="103"/>
      <c r="C14" s="103"/>
      <c r="D14" s="103"/>
      <c r="E14" s="103"/>
      <c r="F14" s="103"/>
      <c r="G14" s="103"/>
      <c r="H14" s="103"/>
    </row>
    <row r="15">
      <c r="A15" s="104"/>
      <c r="B15" s="104"/>
      <c r="C15" s="104"/>
      <c r="D15" s="104"/>
      <c r="E15" s="104"/>
      <c r="F15" s="104"/>
      <c r="G15" s="104"/>
      <c r="H15" s="104"/>
    </row>
    <row r="16">
      <c r="A16" s="105" t="s">
        <v>261</v>
      </c>
      <c r="B16" s="106"/>
      <c r="C16" s="106"/>
      <c r="D16" s="106"/>
      <c r="E16" s="106"/>
      <c r="F16" s="106"/>
      <c r="G16" s="106"/>
      <c r="H16" s="106"/>
    </row>
    <row r="17">
      <c r="A17" s="107" t="s">
        <v>262</v>
      </c>
      <c r="B17" s="104"/>
      <c r="C17" s="104"/>
      <c r="D17" s="104"/>
      <c r="E17" s="104"/>
      <c r="F17" s="104"/>
      <c r="G17" s="104"/>
      <c r="H17" s="104"/>
    </row>
    <row r="18">
      <c r="A18" s="105" t="s">
        <v>263</v>
      </c>
      <c r="B18" s="106"/>
      <c r="C18" s="106"/>
      <c r="D18" s="106"/>
      <c r="E18" s="106"/>
      <c r="F18" s="106"/>
      <c r="G18" s="106"/>
      <c r="H18" s="106"/>
    </row>
    <row r="19">
      <c r="A19" s="104"/>
      <c r="B19" s="104"/>
      <c r="C19" s="104"/>
      <c r="D19" s="104"/>
      <c r="E19" s="104"/>
      <c r="F19" s="104"/>
      <c r="G19" s="104"/>
      <c r="H19" s="104"/>
    </row>
    <row r="20">
      <c r="A20" s="106"/>
      <c r="B20" s="106"/>
      <c r="C20" s="106"/>
      <c r="D20" s="106"/>
      <c r="E20" s="106"/>
      <c r="F20" s="106"/>
      <c r="G20" s="106"/>
      <c r="H20" s="106"/>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