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Chart" sheetId="11" r:id="rId14"/>
    <sheet state="visible" name="Final Project Release plan" sheetId="12" r:id="rId15"/>
    <sheet state="visible" name="Burndown-Chart Final Project Re"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<sst xmlns="http://schemas.openxmlformats.org/spreadsheetml/2006/main" count="717" uniqueCount="504">
  <si>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</si>
  <si>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</si>
  <si>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</si>
  <si>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</si>
  <si>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</si>
  <si>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</si>
  <si>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</si>
  <si>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</si>
  <si>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</si>
  <si>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</si>
  <si>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</si>
  <si>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</si>
  <si>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</si>
  <si>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</si>
  <si>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Right Small</t>
  </si>
  <si>
    <t>Link to logo for black T-shirt</t>
  </si>
  <si>
    <t>https://www.shirtinator.com/s/w1QJzfDfTC-gGBjVmnCscg</t>
  </si>
  <si>
    <t>Link to logo for white T-shirt</t>
  </si>
  <si>
    <t>https://www.shirtinator.com/s/sMNil0MoQzmuNuc04Y6Ljw</t>
  </si>
  <si>
    <t>Additional materials</t>
  </si>
  <si>
    <t>Team maling list</t>
  </si>
  <si>
    <t>oss-amos-proj3@lists.fau.de</t>
  </si>
  <si>
    <t>Last Name</t>
  </si>
  <si>
    <t>First Name</t>
  </si>
  <si>
    <t>GitHub User Name</t>
  </si>
  <si>
    <t>Email Address</t>
  </si>
  <si>
    <t>Brüggemann</t>
  </si>
  <si>
    <t>Jonas</t>
  </si>
  <si>
    <t>jonasbrue</t>
  </si>
  <si>
    <t>jonas.brueggemann@campus.tu-berlin.de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</si>
  <si>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</si>
  <si>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</si>
  <si>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</si>
  <si>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</si>
  <si>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</si>
  <si>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</si>
  <si>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</si>
  <si>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</si>
  <si>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</si>
  <si>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</si>
  <si>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</si>
  <si>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</si>
  <si>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</si>
  <si>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</si>
  <si>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</si>
  <si>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</si>
  <si>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</si>
  <si>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</si>
  <si>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</si>
  <si>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</si>
  <si>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</si>
  <si>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</si>
  <si>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</si>
  <si>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</si>
  <si>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</si>
  <si>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Muhamad</t>
  </si>
  <si>
    <t>MuhammadZeeshan2</t>
  </si>
  <si>
    <t>sharif.zeeshan@fau.de</t>
  </si>
  <si>
    <t>Haseeb</t>
  </si>
  <si>
    <t>Abdul</t>
  </si>
  <si>
    <t>AbdulHaseeb-SE</t>
  </si>
  <si>
    <t>abdul.ah.haseeb@fau.de</t>
  </si>
  <si>
    <t>Vogt</t>
  </si>
  <si>
    <t>Marcel</t>
  </si>
  <si>
    <t>VogtIndustries</t>
  </si>
  <si>
    <t>marcel.vogt@campus.tu-berlin.de</t>
  </si>
  <si>
    <t xml:space="preserve"> </t>
  </si>
  <si>
    <t>Product Owner</t>
  </si>
  <si>
    <t>#</t>
  </si>
  <si>
    <t>Meeting Day</t>
  </si>
  <si>
    <t>Review</t>
  </si>
  <si>
    <t>Planning</t>
  </si>
  <si>
    <t>Software Developer</t>
  </si>
  <si>
    <t>Release Manager</t>
  </si>
  <si>
    <t>Scrum Master</t>
  </si>
  <si>
    <t>Comment</t>
  </si>
  <si>
    <t>Everyone else</t>
  </si>
  <si>
    <t>N/A</t>
  </si>
  <si>
    <t>COACH student</t>
  </si>
  <si>
    <t>Andrew Ebied</t>
  </si>
  <si>
    <t>Hasnat Ahmed</t>
  </si>
  <si>
    <t>Hossam Amer</t>
  </si>
  <si>
    <t>Muhamad Zeeshan</t>
  </si>
  <si>
    <t>Hannes Vinzens</t>
  </si>
  <si>
    <t>Marcel Vogt</t>
  </si>
  <si>
    <t>Abdul Haseeb</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</si>
  <si>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</si>
  <si>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</si>
  <si>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</si>
  <si>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</si>
  <si>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</si>
  <si>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</si>
  <si>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</si>
  <si>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</si>
  <si>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</si>
  <si>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</si>
  <si>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</si>
  <si>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</si>
  <si>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</si>
  <si>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</si>
  <si>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</si>
  <si>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</si>
  <si>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</si>
  <si>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</si>
  <si>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</si>
  <si>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</si>
  <si>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</si>
  <si>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</si>
  <si>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</si>
  <si>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</si>
  <si>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</si>
  <si>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</si>
  <si>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</si>
  <si>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</si>
  <si>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</si>
  <si>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</si>
  <si>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</si>
  <si>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</si>
  <si>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</si>
  <si>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</si>
  <si>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</si>
  <si>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</si>
  <si>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</si>
  <si>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</si>
  <si>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</si>
  <si>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</si>
  <si>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</si>
  <si>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</si>
  <si>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</si>
  <si>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</si>
  <si>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</si>
  <si>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</si>
  <si>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</si>
  <si>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</si>
  <si>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</si>
  <si>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</si>
  <si>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</si>
  <si>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</si>
  <si>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</si>
  <si>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</si>
  <si>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</si>
  <si>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</si>
  <si>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</si>
  <si>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 xml:space="preserve">AIlixir Intelligence transforms unstructured documents into connected, actionable knowledge. Users can upload or scan documents (e.g., medical reports, invoices), from which the system extracts domain-specific, meaningful data fields and organises them into a personalised knowledge base. An AI-powered voice/chat interface enables users to ask precise, context-aware questions and better understand their personal documents, as well as relationships and developments across their document history. At its core, the platform is designed to be domain-agnostic and configurable for a wide range of use cases. </t>
  </si>
  <si>
    <t xml:space="preserve">The mission of this project is to create an MVP that runs on mobile devices. Core functionality includes extracting structured information from uploaded documents, storing and organising it within a personal knowledge base, and enabling conversational querying using RAG with optional enrichment from external knowledge sources such as research papers. The system will demonstrate domain configurability using medical documents as the primary domain and finance as a secondary domain. </t>
  </si>
  <si>
    <t>Term</t>
  </si>
  <si>
    <t>Definition</t>
  </si>
  <si>
    <t>AiLixir</t>
  </si>
  <si>
    <t>A mobile application that lets users capture or upload documents, extract structured knowledge from them, and ask an AI questions about the analysed content.</t>
  </si>
  <si>
    <t>User</t>
  </si>
  <si>
    <t>A person who uses AiLixir to manage documents, start knowledge extraction, view results, and interact with the AI.</t>
  </si>
  <si>
    <t>Account</t>
  </si>
  <si>
    <t>A user identity that stores private app data and enables access to personalised documents, chats, and extracted knowledge.</t>
  </si>
  <si>
    <t>Registration / Sign-up</t>
  </si>
  <si>
    <t>The process by which a new user creates an account, typically using email, password, and required personal details.</t>
  </si>
  <si>
    <t>Login</t>
  </si>
  <si>
    <t>The process by which an existing user proves their identity and gains access to private app screens and backend functionality.</t>
  </si>
  <si>
    <t>Authenticated User</t>
  </si>
  <si>
    <t>A user who has successfully logged in and is allowed to access private documents, protected screens, and authenticated backend APIs.</t>
  </si>
  <si>
    <t>Document</t>
  </si>
  <si>
    <t>A user-provided file or scan that can be stored, previewed, analysed, and used as the source for knowledge extraction.</t>
  </si>
  <si>
    <t>Captured Document</t>
  </si>
  <si>
    <t>A document created by taking a picture or scan with the smartphone camera and passing the result back to the app.</t>
  </si>
  <si>
    <t>Uploaded Document</t>
  </si>
  <si>
    <t>A document selected from the device file system or submitted from the camera that becomes available inside AiLixir.</t>
  </si>
  <si>
    <t>Document Preview</t>
  </si>
  <si>
    <t>A small visual representation of a selected document or document page before the user starts analysis or extraction.</t>
  </si>
  <si>
    <t>Document View</t>
  </si>
  <si>
    <t>The screen that lists the documents stored for the authenticated user and acts as the entry point to document actions.</t>
  </si>
  <si>
    <t>Document Details View</t>
  </si>
  <si>
    <t>The screen for one document that displays metadata, pages, status, and actions such as starting extraction or downloading results.</t>
  </si>
  <si>
    <t>Document Metadata</t>
  </si>
  <si>
    <t>Descriptive information about a document, such as status, size, filename, document date, upload date, facility, and tags.</t>
  </si>
  <si>
    <t>Document Page</t>
  </si>
  <si>
    <t>An individual page or image belonging to a document, especially relevant for multi-page uploads or camera scans.</t>
  </si>
  <si>
    <t>Document Tag / Label</t>
  </si>
  <si>
    <t>A user-facing classification attached to a document, for example a lab result label, used to organize and filter documents.</t>
  </si>
  <si>
    <t>Document Status</t>
  </si>
  <si>
    <t>The current processing state of a document, such as not extracted, extraction in progress, or analysed.</t>
  </si>
  <si>
    <t>Knowledge Extraction</t>
  </si>
  <si>
    <t>The user-triggered process that converts document content into structured domain information, such as entities and relationships.</t>
  </si>
  <si>
    <t>Extraction Status</t>
  </si>
  <si>
    <t>An indicator showing whether knowledge has already been extracted from a document, is still being extracted, or has not been extracted yet.</t>
  </si>
  <si>
    <t>Medical Document</t>
  </si>
  <si>
    <t>A document containing medical information, such as a lab report, discharge summary, diagnosis information, medication information, or blood marker data.</t>
  </si>
  <si>
    <t>Blood Biomarker</t>
  </si>
  <si>
    <t>A measurable health value extracted from medical documents and displayed over time in the medical dashboard.</t>
  </si>
  <si>
    <t>Medical Dashboard</t>
  </si>
  <si>
    <t>A visual overview that shows extracted medical data, including biomarkers, historical trends, and filterable health information.</t>
  </si>
  <si>
    <t>Financial Metric</t>
  </si>
  <si>
    <t>A financial value extracted from documents or connected sources, such as balances, asset values, transaction data, or portfolio performance data.</t>
  </si>
  <si>
    <t>Finance Dashboard</t>
  </si>
  <si>
    <t>A visual overview that consolidates financial metrics and transactions and presents portfolio performance over time.</t>
  </si>
  <si>
    <t>Structured Data</t>
  </si>
  <si>
    <t>A machine-readable representation of extracted information, typically JSON or graph data, that downstream services can process reliably.</t>
  </si>
  <si>
    <t>Domain-specific Entity</t>
  </si>
  <si>
    <t>A meaningful object identified in a document, such as Patient, Diagnosis, Medication, MedicalReport, or a financial transaction.</t>
  </si>
  <si>
    <t>Relationship</t>
  </si>
  <si>
    <t>A typed connection between two domain-specific entities, such as HAS_DIAGNOSIS, PRESCRIBED_FOR, MENTIONS_DIAGNOSIS, or TREATED_BY.</t>
  </si>
  <si>
    <t>Triple</t>
  </si>
  <si>
    <t>A structured fact consisting of a subject entity, a relationship, and an object entity, prepared for knowledge graph ingestion.</t>
  </si>
  <si>
    <t>Knowledge Graph</t>
  </si>
  <si>
    <t>A structured network of entities and relationships extracted from documents and used to support retrieval, validation, visualisation, and LLM answers.</t>
  </si>
  <si>
    <t>Node</t>
  </si>
  <si>
    <t>An entity stored in the knowledge graph, such as a patient, diagnosis, medication, or document.</t>
  </si>
  <si>
    <t>Edge</t>
  </si>
  <si>
    <t>A relationship stored in the knowledge graph that connects two nodes and expresses how they are related.</t>
  </si>
  <si>
    <t>Graph Database</t>
  </si>
  <si>
    <t>Persistent storage for knowledge graph nodes and edges, implemented either as a dedicated graph database or another schema that can store triples.</t>
  </si>
  <si>
    <t>Graph Ingestion</t>
  </si>
  <si>
    <t>The act of writing extracted nodes and edges into the knowledge graph database so that they can be retrieved later.</t>
  </si>
  <si>
    <t>Subgraph</t>
  </si>
  <si>
    <t>A relevant subset of the knowledge graph returned for a specific query or prompt, usually consisting of targeted nodes and their direct edges.</t>
  </si>
  <si>
    <t>Graph Retrieval</t>
  </si>
  <si>
    <t>The process of finding and returning a query-relevant subgraph so that another service, especially the LLM integration, can use it as context.</t>
  </si>
  <si>
    <t>LLM</t>
  </si>
  <si>
    <t>A language model that generates answers for users and can use retrieved graph data as grounding context.</t>
  </si>
  <si>
    <t>AI Agent</t>
  </si>
  <si>
    <t>The conversational assistant in the app that receives user prompts and returns answers about uploaded and analysed documents.</t>
  </si>
  <si>
    <t>Prompt</t>
  </si>
  <si>
    <t>A user input to the AI agent, typed or spoken, that asks for information or analysis about uploaded and analysed documents.</t>
  </si>
  <si>
    <t>LLM Context</t>
  </si>
  <si>
    <t>Structured information provided to the LLM before answer generation so that answers can reference verified extracted facts.</t>
  </si>
  <si>
    <t>JSON Context Window</t>
  </si>
  <si>
    <t>A JSON-formatted representation of graph facts that is injected into the LLM prompt for initial integration and validation.</t>
  </si>
  <si>
    <t>Hallucination</t>
  </si>
  <si>
    <t>An AI answer that is not supported by verified extracted facts; the knowledge graph is intended to reduce this risk.</t>
  </si>
  <si>
    <t>GraphRAG Framework</t>
  </si>
  <si>
    <t>A framework-based approach for extracting, storing, and retrieving graph-based knowledge for use with generative AI.</t>
  </si>
  <si>
    <t>Manual JSON Pipeline</t>
  </si>
  <si>
    <t>An extraction approach in which entities and relationships are first produced as structured JSON before being sent to an ingestion service.</t>
  </si>
  <si>
    <t>Embedding</t>
  </si>
  <si>
    <t>A vector representation of data sources such as PDFs, images, JSON files, or knowledge graphs, used for retrieval in a RAG setup.</t>
  </si>
  <si>
    <t>RAG Database</t>
  </si>
  <si>
    <t>A retrieval database that stores embeddings and supports finding relevant information for AI-generated answers.</t>
  </si>
  <si>
    <t>Knowledge Graph Visualisation</t>
  </si>
  <si>
    <t>A visual representation of a document's extracted graph, typically as a node-link diagram or structured report.</t>
  </si>
  <si>
    <t>Knowledge Graph PDF Export</t>
  </si>
  <si>
    <t>A generated PDF representation of a document's knowledge graph that the user can download and inspect locally.</t>
  </si>
  <si>
    <t>Chat Screen</t>
  </si>
  <si>
    <t>The app screen that displays user prompts and AI-agent responses and provides input controls for text and voice interaction.</t>
  </si>
  <si>
    <t>Voice Dictation</t>
  </si>
  <si>
    <t>A microphone-based input mode that turns spoken language into a text prompt for the AI agent.</t>
  </si>
  <si>
    <t>Voice Conversation</t>
  </si>
  <si>
    <t>A voice-based interaction mode in which the user can converse with the AI agent without relying only on typed prompts.</t>
  </si>
  <si>
    <t>Backend API</t>
  </si>
  <si>
    <t>A service interface that allows the frontend to authenticate users, store and retrieve documents, trigger extraction, and request generated results.</t>
  </si>
  <si>
    <t>Document API</t>
  </si>
  <si>
    <t>Backend functionality that accepts document uploads, returns the user's stored documents, and retrieves a document by document ID.</t>
  </si>
  <si>
    <t>Persistent App Storage</t>
  </si>
  <si>
    <t>Long-term storage for user accounts, chats, document identifiers, document metadata, and document files.</t>
  </si>
  <si>
    <t>OCR</t>
  </si>
  <si>
    <t>The process of converting text from scanned or photographed documents into machine-readable text before downstream extraction.</t>
  </si>
  <si>
    <t>Sprint #</t>
  </si>
  <si>
    <t>Sprint goal</t>
  </si>
  <si>
    <t>None</t>
  </si>
  <si>
    <t xml:space="preserve">Refine the knowledge graph pipeline, set up the database for persistent app storage, and implement a consistent layout.
</t>
  </si>
  <si>
    <t xml:space="preserve">Implement user authentication and backend integration for document uploads while building the frontend UI components and backend pipeline required for knowledge graph extraction.
</t>
  </si>
  <si>
    <t>Complete the end-to-end application by integrating frontend views with backend APIs, enabling knowledge graph extraction and providing visualisation options for extracted knowledge graphs.</t>
  </si>
  <si>
    <t>Improve knowledge graph quality, introduce AI chat capabilities, and enhance the user experience with document handling and usability improvements.</t>
  </si>
  <si>
    <t xml:space="preserve">Create a unified user knowledge graph and connect it to the chat system, enabling context-aware conversations and persistent chat management.
</t>
  </si>
  <si>
    <t>Story Points Realized</t>
  </si>
  <si>
    <t>Average</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</si>
  <si>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</si>
  <si>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</si>
  <si>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</si>
  <si>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</si>
  <si>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</si>
  <si>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</si>
  <si>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</si>
  <si>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</si>
  <si>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</si>
  <si>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</si>
  <si>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</si>
  <si>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</si>
  <si>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</si>
  <si>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Establish the project foundation by completing initial research, defining the app direction, and setting up the frontend development environment.</t>
  </si>
  <si>
    <t>Deliver the first functional application prototype with document upload, authentication UI, architecture planning, and initial document analysis capabilities.</t>
  </si>
  <si>
    <t>Build the core document management UI, define the app navigation structure, and implement document capture using the camera while establishing the backend cloud infrastructure.</t>
  </si>
  <si>
    <t>Refine the knowledge graph pipeline, set up the database for persistent app storage, and implement a consistent layout.</t>
  </si>
  <si>
    <t>Implement user authentication and backend integration for document uploads while building the frontend UI components and backend pipeline required for knowledge graph extraction.</t>
  </si>
  <si>
    <t>Features</t>
  </si>
  <si>
    <r>
      <rPr>
        <rFont val="arial, sans, sans-serif"/>
      </rPr>
      <t xml:space="preserve">Setup documentation </t>
    </r>
    <r>
      <rPr>
        <rFont val="arial, sans, sans-serif"/>
        <color rgb="FF000000"/>
      </rPr>
      <t>README.md</t>
    </r>
  </si>
  <si>
    <t>Research which extraction tool do we use? (Document AI, OCR, OCR with Google AI)</t>
  </si>
  <si>
    <t>App Design Mockups / Wireframes / Moodboard</t>
  </si>
  <si>
    <t>Frontend Setup Development Environment for App</t>
  </si>
  <si>
    <t>Implement Document Analysis and Structured Data Output (JSON)</t>
  </si>
  <si>
    <t>Deliverable: Software Architecture Design</t>
  </si>
  <si>
    <t>Frontend: Github Actions CI/CD Pipeline</t>
  </si>
  <si>
    <t>Interface includes a document upload screen</t>
  </si>
  <si>
    <t>App Login Screen</t>
  </si>
  <si>
    <t>Frontend: Documents Overview</t>
  </si>
  <si>
    <t>Capturing Documents using Camera/Scanning</t>
  </si>
  <si>
    <t>App Navigation Tree</t>
  </si>
  <si>
    <t>Setup GCP</t>
  </si>
  <si>
    <t>Knowledge Graph Pipeline Refinement</t>
  </si>
  <si>
    <t>Set up Database for App Persistent Storage</t>
  </si>
  <si>
    <t>Consistent Layout</t>
  </si>
  <si>
    <t>User Registration (Sign Up) View</t>
  </si>
  <si>
    <t>User Registration (Functionality)</t>
  </si>
  <si>
    <t>Login Authentication Process</t>
  </si>
  <si>
    <t>Knowledge Graph Download Button</t>
  </si>
  <si>
    <t>UI for Knowledge Extraction</t>
  </si>
  <si>
    <t>Extracting Knowledge Graphs from Documents</t>
  </si>
  <si>
    <t>Backend API: Documents</t>
  </si>
  <si>
    <t>GCP Scheduling Extraction</t>
  </si>
  <si>
    <t>Connecting Document Views to Backend</t>
  </si>
  <si>
    <t>Connect Knowledge Extraction UI to Backend</t>
  </si>
  <si>
    <t>Connecting Document Upload to Backend</t>
  </si>
  <si>
    <t>Home Screen with Appropriate Navigation Options</t>
  </si>
  <si>
    <t>Simple Combining Knowledge Graphs</t>
  </si>
  <si>
    <t>Backend Deployment: Knowledge Graph Components</t>
  </si>
  <si>
    <t>PLEASE CREATE THE BURNDOWN CHART ON A NEW TAB USING THE DATA FROM THIS TAB</t>
  </si>
  <si>
    <t>Create a unified user knowledge graph and connect it to the chat system, enabling context-aware conversations and persistent chat management.</t>
  </si>
  <si>
    <t>Introduce voice call chat mode and finalise knowledge graph pipeline.</t>
  </si>
  <si>
    <t>Integrate external knowledge sources such as research papers as AI chat contexts and visualise clickable sources in AI answers.</t>
  </si>
  <si>
    <t>Implement normal RAG chat as comparison to knowledge graph contexts in AI chats.</t>
  </si>
  <si>
    <t>Finalise features, documentation, bug fixes and polishing of UX.</t>
  </si>
  <si>
    <t>Fix: Knowledge Graph Extraction API</t>
  </si>
  <si>
    <t>Knowledge Graph Refinement</t>
  </si>
  <si>
    <t>API: LLM Chat Agent</t>
  </si>
  <si>
    <t>Deleting Documents</t>
  </si>
  <si>
    <t>Fix: Account Signup</t>
  </si>
  <si>
    <t>Preview of Uploaded Documents</t>
  </si>
  <si>
    <t>Componentisation - Technical Debt - Beautify</t>
  </si>
  <si>
    <t>Ensure Knowledge Graph Correctness</t>
  </si>
  <si>
    <t>Combining all document sub-graphs into one</t>
  </si>
  <si>
    <t>API: Retrieving the Knowledge Graph</t>
  </si>
  <si>
    <t>Knowledge Graph Context into LLM Prompts</t>
  </si>
  <si>
    <t>API Test Environment</t>
  </si>
  <si>
    <t>Creating Chats</t>
  </si>
  <si>
    <t>Persistent Chat History</t>
  </si>
  <si>
    <t>Connect Chat Screen with LLM Chat Agent</t>
  </si>
  <si>
    <t>Chat Overview</t>
  </si>
  <si>
    <t>Voice Chat Backend Endpoint</t>
  </si>
  <si>
    <t>LLM Live API Connection</t>
  </si>
  <si>
    <t>Voice Chat Indicator</t>
  </si>
  <si>
    <t>Transcribing Microphone Input</t>
  </si>
  <si>
    <t>Integrating Camera Scanning</t>
  </si>
  <si>
    <t>Scraping external research papers</t>
  </si>
  <si>
    <t>Ingest external knowledge sources into LLM context / knowledge graph</t>
  </si>
  <si>
    <t>Sources for an LLM Answer</t>
  </si>
  <si>
    <t>Displaying LLM answer sources</t>
  </si>
  <si>
    <t>Filtering Chats</t>
  </si>
  <si>
    <t>Filtering Documents</t>
  </si>
  <si>
    <t xml:space="preserve">Documents RAG LLM context </t>
  </si>
  <si>
    <t>Switch between Knowledge Graph and RAG Context</t>
  </si>
  <si>
    <t>Design Test Study for Approach Comparison</t>
  </si>
  <si>
    <t>Written Report Comparing Approaches on Test Data</t>
  </si>
  <si>
    <t>Update User, Build and Design documentation</t>
  </si>
  <si>
    <t>Code Cleanup and documentation</t>
  </si>
  <si>
    <t>Feature Definition of Done</t>
  </si>
  <si>
    <t>Sprint Release Definition of Done</t>
  </si>
  <si>
    <t>Project Release Definition of Done</t>
  </si>
  <si>
    <t>The feature code has been reviewed and approved by at least one team member (e.g. pull request approved).</t>
  </si>
  <si>
    <t>The project builds, deploys, runs, and tests successfully in a clean environment (CI/CD pipeline passes).</t>
  </si>
  <si>
    <t>Application passes (user) testing across Android and iOS mobile devices.</t>
  </si>
  <si>
    <t>The feature code is merged into the main branch without breaking other functionality.</t>
  </si>
  <si>
    <t>Sprint release notes are written, summarising the modifications made during the sprint.</t>
  </si>
  <si>
    <t>User documentation is updated to provide instructions on how to build and use the application.</t>
  </si>
  <si>
    <t>The feature was manually tested and works as expected without critical bugs.</t>
  </si>
  <si>
    <t>Design documentation is updated to reflect the architecture and system design.</t>
  </si>
  <si>
    <t>Feature components are demo-ready.</t>
  </si>
  <si>
    <t>Type</t>
  </si>
  <si>
    <t>Link / reference</t>
  </si>
  <si>
    <t>Context</t>
  </si>
  <si>
    <t>Name</t>
  </si>
  <si>
    <t>Version</t>
  </si>
  <si>
    <t>License</t>
  </si>
  <si>
    <t>frontend</t>
  </si>
  <si>
    <t>@react-navigation/bottom-tabs</t>
  </si>
  <si>
    <t>^7.15.5</t>
  </si>
  <si>
    <t>MIT</t>
  </si>
  <si>
    <t>also counts for all expo subpackages</t>
  </si>
  <si>
    <t>@react-navigation/elements</t>
  </si>
  <si>
    <t>^2.9.10</t>
  </si>
  <si>
    <t>@react-navigation/native</t>
  </si>
  <si>
    <t>^7.1.33</t>
  </si>
  <si>
    <t>@tamagui/config</t>
  </si>
  <si>
    <t>^2.0.0-rc.41</t>
  </si>
  <si>
    <t>@tamagui/lucide-icons-2</t>
  </si>
  <si>
    <t>expo</t>
  </si>
  <si>
    <t>~55.0.15</t>
  </si>
  <si>
    <t>expo-constants</t>
  </si>
  <si>
    <t>~55.0.14</t>
  </si>
  <si>
    <t>expo-device</t>
  </si>
  <si>
    <t>expo-document-picker</t>
  </si>
  <si>
    <t>~55.0.13</t>
  </si>
  <si>
    <t>expo-font</t>
  </si>
  <si>
    <t>~55.0.6</t>
  </si>
  <si>
    <t>expo-glass-effect</t>
  </si>
  <si>
    <t>~55.0.10</t>
  </si>
  <si>
    <t>expo-image</t>
  </si>
  <si>
    <t>~55.0.8</t>
  </si>
  <si>
    <t>expo-image-picker</t>
  </si>
  <si>
    <t>~55.0.20</t>
  </si>
  <si>
    <t>expo-linking</t>
  </si>
  <si>
    <t>expo-router</t>
  </si>
  <si>
    <t>~55.0.12</t>
  </si>
  <si>
    <t>expo-splash-screen</t>
  </si>
  <si>
    <t>~55.0.18</t>
  </si>
  <si>
    <t>expo-status-bar</t>
  </si>
  <si>
    <t>~55.0.5</t>
  </si>
  <si>
    <t>expo-symbols</t>
  </si>
  <si>
    <t>~55.0.7</t>
  </si>
  <si>
    <t>expo-system-ui</t>
  </si>
  <si>
    <t>expo-web-browser</t>
  </si>
  <si>
    <t>react</t>
  </si>
  <si>
    <t>19.2.0</t>
  </si>
  <si>
    <t>react-dom</t>
  </si>
  <si>
    <t>react-hook-form</t>
  </si>
  <si>
    <t>^7.73.1</t>
  </si>
  <si>
    <t>react-native</t>
  </si>
  <si>
    <t>0.83.4</t>
  </si>
  <si>
    <t>react-native-gesture-handler</t>
  </si>
  <si>
    <t>~2.30.0</t>
  </si>
  <si>
    <t>react-native-reanimated</t>
  </si>
  <si>
    <t>4.2.1</t>
  </si>
  <si>
    <t>react-native-safe-area-context</t>
  </si>
  <si>
    <t>~5.6.2</t>
  </si>
  <si>
    <t>react-native-screens</t>
  </si>
  <si>
    <t>~4.23.0</t>
  </si>
  <si>
    <t>react-native-svg</t>
  </si>
  <si>
    <t>15.15.3</t>
  </si>
  <si>
    <t>react-native-web</t>
  </si>
  <si>
    <t>~0.21.0</t>
  </si>
  <si>
    <t>react-native-worklets</t>
  </si>
  <si>
    <t>0.7.2</t>
  </si>
  <si>
    <t>tamagui</t>
  </si>
  <si>
    <t>@types/react</t>
  </si>
  <si>
    <t>~19.2.2</t>
  </si>
  <si>
    <t>eslint</t>
  </si>
  <si>
    <t>^9.0.0</t>
  </si>
  <si>
    <t>eslint-config-expo</t>
  </si>
  <si>
    <t>~55.0.0</t>
  </si>
  <si>
    <t>eslint-config-prettier</t>
  </si>
  <si>
    <t>^10.1.8</t>
  </si>
  <si>
    <t>eslint-config-universe</t>
  </si>
  <si>
    <t>^15.0.3</t>
  </si>
  <si>
    <t>eslint-plugin-prettier</t>
  </si>
  <si>
    <t>^5.5.5</t>
  </si>
  <si>
    <t>prettier</t>
  </si>
  <si>
    <t>^3.8.3</t>
  </si>
  <si>
    <t>typescript</t>
  </si>
  <si>
    <t>~5.9.2</t>
  </si>
  <si>
    <t>Apache-2.0</t>
  </si>
  <si>
    <t>jotai</t>
  </si>
  <si>
    <t>^5.100.9</t>
  </si>
  <si>
    <t>@tanstack/query</t>
  </si>
  <si>
    <t>^2.20.0</t>
  </si>
  <si>
    <t>expo-linear-gradient</t>
  </si>
  <si>
    <t>expo-clipboard</t>
  </si>
  <si>
    <t>backend</t>
  </si>
  <si>
    <t>neo4j</t>
  </si>
  <si>
    <t>6.1.0</t>
  </si>
  <si>
    <t>Apache 2.0 AND Python-2.0</t>
  </si>
  <si>
    <t>numpy</t>
  </si>
  <si>
    <t>2.2.6</t>
  </si>
  <si>
    <t>BSD License</t>
  </si>
  <si>
    <t>openai</t>
  </si>
  <si>
    <t>2.34.0</t>
  </si>
  <si>
    <t>Apache Software License</t>
  </si>
  <si>
    <t>opencv-python</t>
  </si>
  <si>
    <t>4.12.0.88</t>
  </si>
  <si>
    <t>paddleocr</t>
  </si>
  <si>
    <t>3.5.0</t>
  </si>
  <si>
    <t>Apache License 2.0</t>
  </si>
  <si>
    <t>pandas</t>
  </si>
  <si>
    <t>3.0.2</t>
  </si>
  <si>
    <t>pillow</t>
  </si>
  <si>
    <t>12.2.0</t>
  </si>
  <si>
    <t>MIT-CMU</t>
  </si>
  <si>
    <t>pydantic</t>
  </si>
  <si>
    <t>2.13.3</t>
  </si>
  <si>
    <t>python-dotenv</t>
  </si>
  <si>
    <t>1.2.2</t>
  </si>
  <si>
    <t>BSD-3-Clause</t>
  </si>
  <si>
    <t>requests</t>
  </si>
  <si>
    <t>2.33.1</t>
  </si>
  <si>
    <t>protobuf</t>
  </si>
  <si>
    <t>3.20.2</t>
  </si>
  <si>
    <t>fast-api</t>
  </si>
  <si>
    <t>0.136.1</t>
  </si>
  <si>
    <t>uvicorn</t>
  </si>
  <si>
    <t>0.46.0</t>
  </si>
  <si>
    <t>firebase-admin</t>
  </si>
  <si>
    <t>7.4.0</t>
  </si>
  <si>
    <t>google-cloud-firestore</t>
  </si>
  <si>
    <t>2.27.0</t>
  </si>
  <si>
    <t>python-multipart</t>
  </si>
  <si>
    <t>0.0.27</t>
  </si>
  <si>
    <t>Value</t>
  </si>
  <si>
    <t>Khan</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</si>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</sst>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2">
    <font>
      <sz val="10.0"/>
      <color rgb="FF000000"/>
      <name val="Arial"/>
    </font>
    <font>
      <b/>
    </font>
    <font/>
    <font>
      <u/>
      <color rgb="FF0000FF"/>
    </font>
    <font>
      <u/>
      <color rgb="FF0000FF"/>
    </font>
    <font>
      <name val="Arial"/>
    </font>
    <font>
      <b/>
      <name val="Arial"/>
    </font>
    <font>
      <sz val="8.0"/>
      <color rgb="FF1F1F1F"/>
      <name val="&quot;Google Sans&quot;"/>
    </font>
    <font>
      <b/>
      <sz val="9.0"/>
    </font>
    <font>
      <sz val="9.0"/>
    </font>
    <font>
      <color rgb="FFFFFFFF"/>
      <name val="Arial"/>
    </font>
    <font>
      <b/>
      <sz val="24.0"/>
      <name val="Arial"/>
    </font>
  </fonts>
  <fills count="10">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s>
  <borders count="1">
    <border/>
  </borders>
  <cellStyleXfs count="1">
    <xf borderId="0" fillId="0" fontId="0" numFmtId="0" applyAlignment="1" applyFont="1"/>
  </cellStyleXfs>
  <cellXfs count="136">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5" numFmtId="164" xfId="0" applyAlignment="1" applyFill="1" applyFont="1" applyNumberFormat="1">
      <alignment shrinkToFit="0" vertical="bottom" wrapText="1"/>
    </xf>
    <xf borderId="0" fillId="4" fontId="5"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3" fontId="5" numFmtId="0" xfId="0" applyAlignment="1" applyFont="1">
      <alignment shrinkToFit="0" vertical="bottom" wrapText="1"/>
    </xf>
    <xf borderId="0" fillId="3" fontId="5" numFmtId="0" xfId="0" applyAlignment="1" applyFont="1">
      <alignment readingOrder="0" shrinkToFit="0" vertical="bottom" wrapText="1"/>
    </xf>
    <xf borderId="0" fillId="4" fontId="6" numFmtId="0" xfId="0" applyAlignment="1" applyFont="1">
      <alignment readingOrder="0" shrinkToFit="0" vertical="bottom" wrapText="1"/>
    </xf>
    <xf borderId="0" fillId="4" fontId="5" numFmtId="0" xfId="0" applyAlignment="1" applyFont="1">
      <alignment shrinkToFit="0" vertical="bottom" wrapText="1"/>
    </xf>
    <xf borderId="0" fillId="4" fontId="7" numFmtId="0" xfId="0" applyAlignment="1" applyFont="1">
      <alignment readingOrder="0" shrinkToFit="0" wrapText="1"/>
    </xf>
    <xf borderId="0" fillId="4"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5" numFmtId="0" xfId="0" applyAlignment="1" applyFont="1">
      <alignment readingOrder="0" shrinkToFit="0" vertical="top" wrapText="1"/>
    </xf>
    <xf borderId="0" fillId="0" fontId="1" numFmtId="0" xfId="0" applyAlignment="1" applyFont="1">
      <alignment shrinkToFit="0" wrapText="1"/>
    </xf>
    <xf borderId="0" fillId="0" fontId="8" numFmtId="0" xfId="0" applyAlignment="1" applyFont="1">
      <alignment horizontal="center" readingOrder="0" shrinkToFit="0" vertical="top" wrapText="1"/>
    </xf>
    <xf borderId="0" fillId="0" fontId="9" numFmtId="0" xfId="0" applyAlignment="1" applyFont="1">
      <alignment horizontal="center" readingOrder="0" shrinkToFit="0" vertical="top"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3" fontId="5" numFmtId="0" xfId="0" applyAlignment="1" applyFont="1">
      <alignment horizontal="right" readingOrder="0" shrinkToFit="0" vertical="bottom" wrapText="0"/>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1"/>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4" fontId="5" numFmtId="0" xfId="0" applyAlignment="1" applyFont="1">
      <alignment horizontal="left" shrinkToFit="0" vertical="bottom" wrapText="1"/>
    </xf>
    <xf borderId="0" fillId="4" fontId="5" numFmtId="0" xfId="0" applyAlignment="1" applyFont="1">
      <alignment shrinkToFit="0" vertical="bottom" wrapText="1"/>
    </xf>
    <xf borderId="0" fillId="6" fontId="6" numFmtId="0" xfId="0" applyAlignment="1" applyFill="1" applyFont="1">
      <alignment horizontal="left" shrinkToFit="0" vertical="bottom" wrapText="0"/>
    </xf>
    <xf borderId="0" fillId="6" fontId="5" numFmtId="0" xfId="0" applyAlignment="1" applyFont="1">
      <alignment shrinkToFit="0" vertical="bottom" wrapText="1"/>
    </xf>
    <xf borderId="0" fillId="6" fontId="5" numFmtId="0" xfId="0" applyAlignment="1" applyFont="1">
      <alignment shrinkToFit="0" vertical="bottom" wrapText="1"/>
    </xf>
    <xf borderId="0" fillId="3" fontId="6" numFmtId="0" xfId="0" applyAlignment="1" applyFont="1">
      <alignment shrinkToFit="0" vertical="bottom" wrapText="0"/>
    </xf>
    <xf borderId="0" fillId="0" fontId="2" numFmtId="0" xfId="0" applyAlignment="1" applyFont="1">
      <alignment shrinkToFit="0" wrapText="1"/>
    </xf>
    <xf borderId="0" fillId="3" fontId="5"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1"/>
    </xf>
    <xf borderId="0" fillId="7" fontId="5" numFmtId="0" xfId="0" applyAlignment="1" applyFont="1">
      <alignment shrinkToFit="0" vertical="bottom" wrapText="1"/>
    </xf>
    <xf borderId="0" fillId="4" fontId="10" numFmtId="0" xfId="0" applyAlignment="1" applyFont="1">
      <alignment horizontal="center" shrinkToFit="0" vertical="bottom" wrapText="0"/>
    </xf>
    <xf borderId="0" fillId="3" fontId="5" numFmtId="0" xfId="0" applyAlignment="1" applyFont="1">
      <alignment horizontal="left" shrinkToFit="0" vertical="bottom" wrapText="1"/>
    </xf>
    <xf borderId="0" fillId="3" fontId="5" numFmtId="0" xfId="0" applyAlignment="1" applyFont="1">
      <alignment readingOrder="0" shrinkToFit="0" vertical="bottom" wrapText="1"/>
    </xf>
    <xf borderId="0" fillId="4" fontId="5" numFmtId="0" xfId="0" applyAlignment="1" applyFont="1">
      <alignment readingOrder="0" shrinkToFit="0" vertical="bottom" wrapText="1"/>
    </xf>
    <xf borderId="0" fillId="4" fontId="5" numFmtId="0" xfId="0" applyAlignment="1" applyFont="1">
      <alignment horizontal="right" shrinkToFit="0" vertical="bottom" wrapText="0"/>
    </xf>
    <xf borderId="0" fillId="3" fontId="5" numFmtId="0" xfId="0" applyAlignment="1" applyFont="1">
      <alignment readingOrder="0" shrinkToFit="0" vertical="bottom" wrapText="1"/>
    </xf>
    <xf borderId="0" fillId="4" fontId="5" numFmtId="0" xfId="0" applyAlignment="1" applyFont="1">
      <alignment horizontal="left" readingOrder="0" shrinkToFit="0" vertical="bottom" wrapText="1"/>
    </xf>
    <xf borderId="0" fillId="3" fontId="5" numFmtId="0" xfId="0" applyAlignment="1" applyFont="1">
      <alignment horizontal="left" readingOrder="0" shrinkToFit="0" vertical="bottom" wrapText="1"/>
    </xf>
    <xf borderId="0" fillId="3" fontId="5" numFmtId="0" xfId="0" applyAlignment="1" applyFont="1">
      <alignment shrinkToFit="0" vertical="bottom"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1"/>
    </xf>
    <xf borderId="0" fillId="8" fontId="5" numFmtId="0" xfId="0" applyAlignment="1" applyFont="1">
      <alignment shrinkToFit="0" vertical="bottom" wrapText="1"/>
    </xf>
    <xf borderId="0" fillId="3" fontId="6" numFmtId="0" xfId="0" applyAlignment="1" applyFont="1">
      <alignment shrinkToFit="0" vertical="bottom" wrapText="1"/>
    </xf>
    <xf borderId="0" fillId="4" fontId="6" numFmtId="0" xfId="0" applyAlignment="1" applyFont="1">
      <alignment horizontal="left" shrinkToFit="0" vertical="bottom"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4" fontId="5" numFmtId="0" xfId="0" applyAlignment="1" applyFont="1">
      <alignment readingOrder="0" shrinkToFit="0" vertical="bottom" wrapText="0"/>
    </xf>
    <xf borderId="0" fillId="4" fontId="5" numFmtId="0" xfId="0" applyAlignment="1" applyFont="1">
      <alignment horizontal="right" shrinkToFit="0" vertical="bottom" wrapText="0"/>
    </xf>
    <xf borderId="0" fillId="4" fontId="5" numFmtId="0" xfId="0" applyAlignment="1" applyFont="1">
      <alignment shrinkToFit="0" vertical="bottom" wrapText="0"/>
    </xf>
    <xf borderId="0" fillId="4" fontId="5" numFmtId="0" xfId="0" applyAlignment="1" applyFont="1">
      <alignment horizontal="left" shrinkToFit="0" vertical="bottom" wrapText="1"/>
    </xf>
    <xf borderId="0" fillId="4" fontId="5" numFmtId="0" xfId="0" applyAlignment="1" applyFont="1">
      <alignment shrinkToFit="0" vertical="bottom" wrapText="1"/>
    </xf>
    <xf borderId="0" fillId="4" fontId="5" numFmtId="0" xfId="0" applyAlignment="1" applyFont="1">
      <alignment shrinkToFit="0" vertical="bottom" wrapText="0"/>
    </xf>
    <xf borderId="0" fillId="4" fontId="5" numFmtId="0" xfId="0" applyAlignment="1" applyFont="1">
      <alignment horizontal="right" readingOrder="0" shrinkToFit="0" vertical="bottom" wrapText="0"/>
    </xf>
    <xf borderId="0" fillId="4" fontId="6" numFmtId="0" xfId="0" applyAlignment="1" applyFont="1">
      <alignment readingOrder="0" shrinkToFit="0" vertical="bottom" wrapText="1"/>
    </xf>
    <xf borderId="0" fillId="5" fontId="1" numFmtId="0" xfId="0" applyAlignment="1" applyFont="1">
      <alignment readingOrder="0" shrinkToFit="0" wrapText="0"/>
    </xf>
    <xf borderId="0" fillId="7" fontId="6" numFmtId="0" xfId="0" applyAlignment="1" applyFont="1">
      <alignment shrinkToFit="0" vertical="bottom" wrapText="0"/>
    </xf>
    <xf borderId="0" fillId="8" fontId="6" numFmtId="0" xfId="0" applyAlignment="1" applyFont="1">
      <alignment shrinkToFit="0" vertical="bottom" wrapText="0"/>
    </xf>
    <xf borderId="0" fillId="3" fontId="6"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1"/>
    </xf>
    <xf borderId="0" fillId="3" fontId="2" numFmtId="0" xfId="0" applyAlignment="1" applyFont="1">
      <alignment readingOrder="0" shrinkToFit="0" wrapText="1"/>
    </xf>
    <xf borderId="0" fillId="4" fontId="6" numFmtId="0" xfId="0" applyAlignment="1" applyFont="1">
      <alignment horizontal="left" shrinkToFit="0" vertical="bottom" wrapText="1"/>
    </xf>
    <xf borderId="0" fillId="3" fontId="6" numFmtId="0" xfId="0" applyAlignment="1" applyFont="1">
      <alignment horizontal="left" shrinkToFit="0" vertical="bottom" wrapText="1"/>
    </xf>
    <xf borderId="0" fillId="3" fontId="1" numFmtId="0" xfId="0" applyAlignment="1" applyFont="1">
      <alignment readingOrder="0" shrinkToFit="0" wrapText="0"/>
    </xf>
    <xf borderId="0" fillId="4" fontId="6" numFmtId="0" xfId="0" applyAlignment="1" applyFont="1">
      <alignment horizontal="left" readingOrder="0" shrinkToFit="0" vertical="bottom" wrapText="1"/>
    </xf>
    <xf borderId="0" fillId="5" fontId="5" numFmtId="0" xfId="0" applyAlignment="1" applyFont="1">
      <alignment readingOrder="0" shrinkToFit="0" vertical="bottom" wrapText="1"/>
    </xf>
    <xf borderId="0" fillId="2" fontId="6" numFmtId="0" xfId="0" applyAlignment="1" applyFont="1">
      <alignment shrinkToFit="0" vertical="bottom" wrapText="1"/>
    </xf>
    <xf borderId="0" fillId="2" fontId="6" numFmtId="0" xfId="0" applyAlignment="1" applyFont="1">
      <alignment shrinkToFit="0" vertical="bottom" wrapText="0"/>
    </xf>
    <xf borderId="0" fillId="2" fontId="6" numFmtId="0" xfId="0" applyAlignment="1" applyFont="1">
      <alignment readingOrder="0" shrinkToFit="0" vertical="bottom" wrapText="0"/>
    </xf>
    <xf borderId="0" fillId="9" fontId="1" numFmtId="0" xfId="0" applyAlignment="1" applyFill="1" applyFont="1">
      <alignment readingOrder="0" shrinkToFit="0" wrapText="0"/>
    </xf>
    <xf borderId="0" fillId="9" fontId="1" numFmtId="0" xfId="0" applyAlignment="1" applyFont="1">
      <alignment readingOrder="0" shrinkToFit="0" wrapText="1"/>
    </xf>
    <xf borderId="0" fillId="0" fontId="2" numFmtId="0" xfId="0" applyAlignment="1" applyFont="1">
      <alignment readingOrder="0" shrinkToFit="0"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5" numFmtId="4" xfId="0" applyAlignment="1" applyFont="1" applyNumberFormat="1">
      <alignment shrinkToFit="0" vertical="center" wrapText="1"/>
    </xf>
    <xf borderId="0" fillId="2" fontId="5" numFmtId="0" xfId="0" applyAlignment="1" applyFont="1">
      <alignment shrinkToFit="0" vertical="center" wrapText="1"/>
    </xf>
    <xf borderId="0" fillId="2" fontId="1" numFmtId="0" xfId="0" applyAlignment="1" applyFont="1">
      <alignment shrinkToFit="0" vertical="center" wrapText="1"/>
    </xf>
    <xf borderId="0" fillId="4" fontId="6" numFmtId="0" xfId="0" applyAlignment="1" applyFont="1">
      <alignment shrinkToFit="0" vertical="center" wrapText="1"/>
    </xf>
    <xf borderId="0" fillId="5" fontId="5" numFmtId="0" xfId="0" applyAlignment="1" applyFont="1">
      <alignment horizontal="center" readingOrder="0" shrinkToFit="0" vertical="center" wrapText="1"/>
    </xf>
    <xf borderId="0" fillId="4" fontId="5" numFmtId="4" xfId="0" applyAlignment="1" applyFont="1" applyNumberFormat="1">
      <alignment shrinkToFit="0" vertical="center" wrapText="1"/>
    </xf>
    <xf borderId="0" fillId="8" fontId="11" numFmtId="4" xfId="0" applyAlignment="1" applyFont="1" applyNumberFormat="1">
      <alignment horizontal="center" shrinkToFit="0" vertical="center" wrapText="1"/>
    </xf>
    <xf borderId="0" fillId="8" fontId="11" numFmtId="0" xfId="0" applyAlignment="1" applyFont="1">
      <alignment horizontal="center" shrinkToFit="0" vertical="center" wrapText="1"/>
    </xf>
    <xf borderId="0" fillId="4" fontId="2" numFmtId="0" xfId="0" applyAlignment="1" applyFont="1">
      <alignment shrinkToFit="0" vertical="center" wrapText="1"/>
    </xf>
    <xf borderId="0" fillId="3" fontId="6" numFmtId="0" xfId="0" applyAlignment="1" applyFont="1">
      <alignment readingOrder="0" shrinkToFit="0" vertical="center" wrapText="1"/>
    </xf>
    <xf borderId="0" fillId="3" fontId="5" numFmtId="4" xfId="0" applyAlignment="1" applyFont="1" applyNumberFormat="1">
      <alignment shrinkToFit="0" vertical="center" wrapText="1"/>
    </xf>
    <xf borderId="0" fillId="3" fontId="2" numFmtId="0" xfId="0" applyAlignment="1" applyFont="1">
      <alignment shrinkToFit="0" vertical="center" wrapText="1"/>
    </xf>
    <xf borderId="0" fillId="5" fontId="5" numFmtId="0" xfId="0" applyAlignment="1" applyFont="1">
      <alignment horizontal="center" shrinkToFit="0" vertical="center" wrapText="1"/>
    </xf>
    <xf borderId="0" fillId="3" fontId="6" numFmtId="0" xfId="0" applyAlignment="1" applyFont="1">
      <alignment shrinkToFit="0" vertical="center" wrapText="1"/>
    </xf>
    <xf borderId="0" fillId="5" fontId="5" numFmtId="0" xfId="0" applyAlignment="1" applyFont="1">
      <alignment horizontal="center" shrinkToFit="0" vertical="center" wrapText="1"/>
    </xf>
    <xf borderId="0" fillId="3" fontId="5" numFmtId="0" xfId="0" applyAlignment="1" applyFont="1">
      <alignment shrinkToFit="0" vertical="center" wrapText="1"/>
    </xf>
    <xf borderId="0" fillId="4" fontId="5" numFmtId="0" xfId="0" applyAlignment="1" applyFont="1">
      <alignment shrinkToFit="0" vertical="center" wrapText="1"/>
    </xf>
    <xf borderId="0" fillId="7" fontId="5" numFmtId="0" xfId="0" applyAlignment="1" applyFont="1">
      <alignment horizontal="center" shrinkToFit="0" vertical="center" wrapText="1"/>
    </xf>
    <xf borderId="0" fillId="7" fontId="5"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1554721044"/>
        <c:axId val="877132556"/>
      </c:barChart>
      <c:lineChart>
        <c:varyColors val="0"/>
        <c:ser>
          <c:idx val="1"/>
          <c:order val="1"/>
          <c:tx>
            <c:strRef>
              <c:f>'Velocity Tracking'!$C$1</c:f>
            </c:strRef>
          </c:tx>
          <c:spPr>
            <a:ln cmpd="sng" w="9525">
              <a:solidFill>
                <a:srgbClr val="000000">
                  <a:alpha val="100000"/>
                </a:srgbClr>
              </a:solidFill>
              <a:prstDash val="solid"/>
            </a:ln>
          </c:spPr>
          <c:marker>
            <c:symbol val="none"/>
          </c:marker>
          <c:dPt>
            <c:idx val="0"/>
            <c:marker>
              <c:symbol val="none"/>
            </c:marker>
          </c:dPt>
          <c:dPt>
            <c:idx val="13"/>
            <c:marker>
              <c:symbol val="none"/>
            </c:marker>
          </c:dPt>
          <c:dPt>
            <c:idx val="14"/>
            <c:marker>
              <c:symbol val="none"/>
            </c:marker>
          </c:dPt>
          <c:cat>
            <c:strRef>
              <c:f>'Velocity Tracking'!$A$2:$A$16</c:f>
            </c:strRef>
          </c:cat>
          <c:val>
            <c:numRef>
              <c:f>'Velocity Tracking'!$C$2:$C$16</c:f>
              <c:numCache/>
            </c:numRef>
          </c:val>
          <c:smooth val="0"/>
        </c:ser>
        <c:axId val="1554721044"/>
        <c:axId val="877132556"/>
      </c:lineChart>
      <c:catAx>
        <c:axId val="155472104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877132556"/>
      </c:catAx>
      <c:valAx>
        <c:axId val="8771325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54721044"/>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1089564300"/>
        <c:axId val="2147052887"/>
      </c:lineChart>
      <c:catAx>
        <c:axId val="108956430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147052887"/>
      </c:catAx>
      <c:valAx>
        <c:axId val="2147052887"/>
        <c:scaling>
          <c:orientation val="minMax"/>
        </c:scaling>
        <c:delete val="0"/>
        <c:axPos val="l"/>
        <c:tickLblPos val="nextTo"/>
        <c:spPr>
          <a:ln>
            <a:noFill/>
          </a:ln>
        </c:spPr>
        <c:crossAx val="1089564300"/>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solidFill>
                <a:srgbClr val="000000"/>
              </a:solidFill>
            </a:ln>
          </c:spPr>
          <c:dPt>
            <c:idx val="2"/>
          </c:dPt>
          <c:cat>
            <c:strRef>
              <c:f>'Mid-Project Release plan'!$A$9:$A$14</c:f>
            </c:strRef>
          </c:cat>
          <c:val>
            <c:numRef>
              <c:f>'Mid-Project Release plan'!$E$9:$E$14</c:f>
              <c:numCache/>
            </c:numRef>
          </c:val>
        </c:ser>
        <c:ser>
          <c:idx val="1"/>
          <c:order val="1"/>
          <c:tx>
            <c:v>Real Remaining Size</c:v>
          </c:tx>
          <c:spPr>
            <a:solidFill>
              <a:srgbClr val="DB4437"/>
            </a:solidFill>
            <a:ln cmpd="sng">
              <a:solidFill>
                <a:srgbClr val="000000"/>
              </a:solidFill>
            </a:ln>
          </c:spPr>
          <c:cat>
            <c:strRef>
              <c:f>'Mid-Project Release plan'!$A$9:$A$14</c:f>
            </c:strRef>
          </c:cat>
          <c:val>
            <c:numRef>
              <c:f>'Mid-Project Release plan'!$E$9:$E$14</c:f>
              <c:numCache/>
            </c:numRef>
          </c:val>
        </c:ser>
        <c:ser>
          <c:idx val="2"/>
          <c:order val="2"/>
          <c:cat>
            <c:strRef>
              <c:f>'Mid-Project Release plan'!$A$9:$A$14</c:f>
            </c:strRef>
          </c:cat>
          <c:val>
            <c:numRef>
              <c:f>'Mid-Project Release plan'!$G$9:$G$14</c:f>
              <c:numCache/>
            </c:numRef>
          </c:val>
        </c:ser>
        <c:ser>
          <c:idx val="3"/>
          <c:order val="3"/>
          <c:cat>
            <c:strRef>
              <c:f>'Mid-Project Release plan'!$A$9:$A$14</c:f>
            </c:strRef>
          </c:cat>
          <c:val>
            <c:numRef>
              <c:f>'Mid-Project Release plan'!$G$9:$G$14</c:f>
              <c:numCache/>
            </c:numRef>
          </c:val>
        </c:ser>
        <c:axId val="650262575"/>
        <c:axId val="25622489"/>
      </c:barChart>
      <c:catAx>
        <c:axId val="65026257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25622489"/>
      </c:catAx>
      <c:valAx>
        <c:axId val="256224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50262575"/>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1449428787"/>
        <c:axId val="626716560"/>
      </c:lineChart>
      <c:catAx>
        <c:axId val="144942878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626716560"/>
      </c:catAx>
      <c:valAx>
        <c:axId val="626716560"/>
        <c:scaling>
          <c:orientation val="minMax"/>
        </c:scaling>
        <c:delete val="0"/>
        <c:axPos val="l"/>
        <c:tickLblPos val="nextTo"/>
        <c:spPr>
          <a:ln>
            <a:noFill/>
          </a:ln>
        </c:spPr>
        <c:crossAx val="1449428787"/>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solidFill>
                <a:srgbClr val="000000"/>
              </a:solidFill>
            </a:ln>
          </c:spPr>
          <c:dPt>
            <c:idx val="2"/>
          </c:dPt>
          <c:cat>
            <c:strRef>
              <c:f>'Final Project Release plan'!$A$9:$A$15</c:f>
            </c:strRef>
          </c:cat>
          <c:val>
            <c:numRef>
              <c:f>'Final Project Release plan'!$E$9:$E$15</c:f>
              <c:numCache/>
            </c:numRef>
          </c:val>
        </c:ser>
        <c:ser>
          <c:idx val="1"/>
          <c:order val="1"/>
          <c:tx>
            <c:v>Real Remaining Size</c:v>
          </c:tx>
          <c:spPr>
            <a:solidFill>
              <a:srgbClr val="DB4437"/>
            </a:solidFill>
            <a:ln cmpd="sng">
              <a:solidFill>
                <a:srgbClr val="000000"/>
              </a:solidFill>
            </a:ln>
          </c:spPr>
          <c:cat>
            <c:strRef>
              <c:f>'Final Project Release plan'!$A$9:$A$15</c:f>
            </c:strRef>
          </c:cat>
          <c:val>
            <c:numRef>
              <c:f>'Final Project Release plan'!$E$9:$E$15</c:f>
              <c:numCache/>
            </c:numRef>
          </c:val>
        </c:ser>
        <c:ser>
          <c:idx val="2"/>
          <c:order val="2"/>
          <c:cat>
            <c:strRef>
              <c:f>'Final Project Release plan'!$A$9:$A$15</c:f>
            </c:strRef>
          </c:cat>
          <c:val>
            <c:numRef>
              <c:f>'Final Project Release plan'!$G$9:$G$15</c:f>
              <c:numCache/>
            </c:numRef>
          </c:val>
        </c:ser>
        <c:ser>
          <c:idx val="3"/>
          <c:order val="3"/>
          <c:cat>
            <c:strRef>
              <c:f>'Final Project Release plan'!$A$9:$A$15</c:f>
            </c:strRef>
          </c:cat>
          <c:val>
            <c:numRef>
              <c:f>'Final Project Release plan'!$G$9:$G$15</c:f>
              <c:numCache/>
            </c:numRef>
          </c:val>
        </c:ser>
        <c:axId val="1569564749"/>
        <c:axId val="2146214450"/>
      </c:barChart>
      <c:catAx>
        <c:axId val="156956474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2146214450"/>
      </c:catAx>
      <c:valAx>
        <c:axId val="2146214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69564749"/>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76200</xdr:rowOff>
    </xdr:from>
    <xdr:ext cx="9486900" cy="5695950"/>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0734675" cy="6648450"/>
    <xdr:graphicFrame>
      <xdr:nvGraphicFramePr>
        <xdr:cNvPr id="3" name="Chart 3"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0734675" cy="6648450"/>
    <xdr:graphicFrame>
      <xdr:nvGraphicFramePr>
        <xdr:cNvPr id="5" name="Chart 5"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54"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19"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0"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70"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9" Type="http://schemas.openxmlformats.org/officeDocument/2006/relationships/table" Target="../tables/table1.xml"/><Relationship Id="rId5" Type="http://schemas.openxmlformats.org/officeDocument/2006/relationships/hyperlink" Target="https://www.shirtinator.com/s/w1QJzfDfTC-gGBjVmnCscg" TargetMode="External"/><Relationship Id="rId6" Type="http://schemas.openxmlformats.org/officeDocument/2006/relationships/hyperlink" Target="https://www.shirtinator.com/s/sMNil0MoQzmuNuc04Y6Ljw"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5" t="s">
        <v>16</v>
      </c>
    </row>
    <row r="14">
      <c r="A14" s="4" t="s">
        <v>17</v>
      </c>
      <c r="B14" s="7" t="s">
        <v>18</v>
      </c>
    </row>
    <row r="15">
      <c r="A15" s="1"/>
      <c r="B15" s="3"/>
    </row>
    <row r="16">
      <c r="A16" s="1" t="s">
        <v>19</v>
      </c>
      <c r="B16" s="3" t="s">
        <v>5</v>
      </c>
    </row>
    <row r="17">
      <c r="A17" s="1"/>
      <c r="B17" s="3"/>
    </row>
    <row r="18">
      <c r="A18" s="4" t="s">
        <v>20</v>
      </c>
      <c r="B18" s="2" t="s">
        <v>21</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8" t="s">
        <v>22</v>
      </c>
      <c r="B1" s="8" t="s">
        <v>23</v>
      </c>
      <c r="C1" s="8" t="s">
        <v>24</v>
      </c>
      <c r="D1" s="8" t="s">
        <v>25</v>
      </c>
    </row>
    <row r="2">
      <c r="A2" s="9" t="s">
        <v>26</v>
      </c>
      <c r="B2" s="9" t="s">
        <v>27</v>
      </c>
      <c r="C2" s="9" t="s">
        <v>28</v>
      </c>
      <c r="D2" s="9" t="s">
        <v>29</v>
      </c>
    </row>
    <row r="3">
      <c r="A3" s="9" t="s">
        <v>30</v>
      </c>
      <c r="B3" s="9" t="s">
        <v>31</v>
      </c>
      <c r="C3" s="9" t="s">
        <v>32</v>
      </c>
      <c r="D3" s="9" t="s">
        <v>33</v>
      </c>
    </row>
    <row r="4">
      <c r="A4" s="9" t="s">
        <v>34</v>
      </c>
      <c r="B4" s="9" t="s">
        <v>35</v>
      </c>
      <c r="C4" s="9" t="s">
        <v>36</v>
      </c>
      <c r="D4" s="9" t="s">
        <v>37</v>
      </c>
    </row>
    <row r="5">
      <c r="A5" s="9" t="s">
        <v>38</v>
      </c>
      <c r="B5" s="9" t="s">
        <v>39</v>
      </c>
      <c r="C5" s="9" t="s">
        <v>40</v>
      </c>
      <c r="D5" s="9" t="s">
        <v>41</v>
      </c>
    </row>
    <row r="6">
      <c r="A6" s="9" t="s">
        <v>42</v>
      </c>
      <c r="B6" s="9" t="s">
        <v>43</v>
      </c>
      <c r="C6" s="9" t="s">
        <v>44</v>
      </c>
      <c r="D6" s="9" t="s">
        <v>45</v>
      </c>
    </row>
    <row r="7">
      <c r="A7" s="9" t="s">
        <v>46</v>
      </c>
      <c r="B7" s="9" t="s">
        <v>47</v>
      </c>
      <c r="C7" s="9" t="s">
        <v>48</v>
      </c>
      <c r="D7" s="9" t="s">
        <v>49</v>
      </c>
    </row>
    <row r="8">
      <c r="A8" s="10" t="s">
        <v>50</v>
      </c>
      <c r="B8" s="10" t="s">
        <v>51</v>
      </c>
      <c r="C8" s="10" t="s">
        <v>52</v>
      </c>
      <c r="D8" s="10" t="s">
        <v>53</v>
      </c>
    </row>
    <row r="9">
      <c r="A9" s="9" t="s">
        <v>54</v>
      </c>
      <c r="B9" s="9" t="s">
        <v>55</v>
      </c>
      <c r="C9" s="9" t="s">
        <v>56</v>
      </c>
      <c r="D9" s="9" t="s">
        <v>57</v>
      </c>
    </row>
    <row r="10">
      <c r="A10" s="9" t="s">
        <v>58</v>
      </c>
      <c r="B10" s="9" t="s">
        <v>59</v>
      </c>
      <c r="C10" s="9" t="s">
        <v>60</v>
      </c>
      <c r="D10" s="9" t="s">
        <v>61</v>
      </c>
    </row>
    <row r="11">
      <c r="A11" s="9" t="s">
        <v>62</v>
      </c>
      <c r="B11" s="9" t="s">
        <v>63</v>
      </c>
      <c r="C11" s="9" t="s">
        <v>64</v>
      </c>
      <c r="D11" s="9" t="s">
        <v>65</v>
      </c>
    </row>
    <row r="12">
      <c r="A12" s="8"/>
      <c r="B12" s="11"/>
      <c r="C12" s="11"/>
      <c r="D12" s="11"/>
    </row>
    <row r="13">
      <c r="A13" s="12"/>
      <c r="B13" s="9"/>
      <c r="C13" s="12"/>
      <c r="D13" s="12"/>
    </row>
    <row r="14">
      <c r="A14" s="12"/>
      <c r="B14" s="9"/>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3" t="s">
        <v>66</v>
      </c>
      <c r="B1" s="13"/>
      <c r="C1" s="13" t="s">
        <v>67</v>
      </c>
      <c r="E1" s="13"/>
      <c r="F1" s="14"/>
      <c r="G1" s="14"/>
      <c r="H1" s="13"/>
    </row>
    <row r="2">
      <c r="A2" s="15" t="s">
        <v>68</v>
      </c>
      <c r="B2" s="15" t="s">
        <v>69</v>
      </c>
      <c r="C2" s="15" t="s">
        <v>70</v>
      </c>
      <c r="D2" s="15" t="s">
        <v>71</v>
      </c>
      <c r="E2" s="15" t="s">
        <v>72</v>
      </c>
      <c r="F2" s="16" t="s">
        <v>73</v>
      </c>
      <c r="G2" s="16" t="s">
        <v>74</v>
      </c>
      <c r="H2" s="15" t="s">
        <v>75</v>
      </c>
    </row>
    <row r="3">
      <c r="A3" s="17">
        <v>1.0</v>
      </c>
      <c r="B3" s="18">
        <v>46127.0</v>
      </c>
      <c r="C3" s="9"/>
      <c r="D3" s="9" t="s">
        <v>47</v>
      </c>
      <c r="E3" s="9" t="s">
        <v>76</v>
      </c>
      <c r="F3" s="9" t="s">
        <v>77</v>
      </c>
      <c r="G3" s="9" t="s">
        <v>78</v>
      </c>
      <c r="H3" s="19"/>
    </row>
    <row r="4">
      <c r="A4" s="17">
        <v>2.0</v>
      </c>
      <c r="B4" s="20">
        <f t="shared" ref="B4:B17" si="1">B3+7</f>
        <v>46134</v>
      </c>
      <c r="C4" s="9" t="s">
        <v>47</v>
      </c>
      <c r="D4" s="9" t="s">
        <v>43</v>
      </c>
      <c r="E4" s="9" t="s">
        <v>76</v>
      </c>
      <c r="F4" s="9" t="s">
        <v>79</v>
      </c>
      <c r="G4" s="9" t="s">
        <v>78</v>
      </c>
      <c r="H4" s="19"/>
    </row>
    <row r="5">
      <c r="A5" s="17">
        <v>3.0</v>
      </c>
      <c r="B5" s="20">
        <f t="shared" si="1"/>
        <v>46141</v>
      </c>
      <c r="C5" s="9" t="s">
        <v>43</v>
      </c>
      <c r="D5" s="9" t="s">
        <v>47</v>
      </c>
      <c r="E5" s="9" t="s">
        <v>76</v>
      </c>
      <c r="F5" s="9" t="s">
        <v>79</v>
      </c>
      <c r="G5" s="9" t="s">
        <v>78</v>
      </c>
      <c r="H5" s="19"/>
    </row>
    <row r="6">
      <c r="A6" s="17">
        <v>4.0</v>
      </c>
      <c r="B6" s="20">
        <f t="shared" si="1"/>
        <v>46148</v>
      </c>
      <c r="C6" s="9" t="s">
        <v>47</v>
      </c>
      <c r="D6" s="9" t="s">
        <v>43</v>
      </c>
      <c r="E6" s="9" t="s">
        <v>76</v>
      </c>
      <c r="F6" s="9" t="s">
        <v>80</v>
      </c>
      <c r="G6" s="9" t="s">
        <v>78</v>
      </c>
      <c r="H6" s="19"/>
    </row>
    <row r="7">
      <c r="A7" s="17">
        <v>5.0</v>
      </c>
      <c r="B7" s="20">
        <f t="shared" si="1"/>
        <v>46155</v>
      </c>
      <c r="C7" s="9" t="s">
        <v>43</v>
      </c>
      <c r="D7" s="9" t="s">
        <v>47</v>
      </c>
      <c r="E7" s="9" t="s">
        <v>76</v>
      </c>
      <c r="F7" s="9" t="s">
        <v>81</v>
      </c>
      <c r="G7" s="9" t="s">
        <v>78</v>
      </c>
      <c r="H7" s="19"/>
    </row>
    <row r="8">
      <c r="A8" s="17">
        <v>6.0</v>
      </c>
      <c r="B8" s="20">
        <f t="shared" si="1"/>
        <v>46162</v>
      </c>
      <c r="C8" s="9" t="s">
        <v>47</v>
      </c>
      <c r="D8" s="9" t="s">
        <v>43</v>
      </c>
      <c r="E8" s="9" t="s">
        <v>5</v>
      </c>
      <c r="F8" s="9" t="s">
        <v>82</v>
      </c>
      <c r="G8" s="9" t="s">
        <v>78</v>
      </c>
      <c r="H8" s="19"/>
    </row>
    <row r="9">
      <c r="A9" s="17">
        <v>7.0</v>
      </c>
      <c r="B9" s="20">
        <f t="shared" si="1"/>
        <v>46169</v>
      </c>
      <c r="C9" s="9" t="s">
        <v>43</v>
      </c>
      <c r="D9" s="9" t="s">
        <v>47</v>
      </c>
      <c r="E9" s="12"/>
      <c r="F9" s="9" t="s">
        <v>83</v>
      </c>
      <c r="G9" s="9" t="s">
        <v>78</v>
      </c>
      <c r="H9" s="19"/>
    </row>
    <row r="10">
      <c r="A10" s="17">
        <v>8.0</v>
      </c>
      <c r="B10" s="20">
        <f t="shared" si="1"/>
        <v>46176</v>
      </c>
      <c r="C10" s="9" t="s">
        <v>47</v>
      </c>
      <c r="D10" s="9" t="s">
        <v>43</v>
      </c>
      <c r="E10" s="12"/>
      <c r="F10" s="9" t="s">
        <v>84</v>
      </c>
      <c r="G10" s="9" t="s">
        <v>78</v>
      </c>
    </row>
    <row r="11">
      <c r="A11" s="17">
        <v>9.0</v>
      </c>
      <c r="B11" s="20">
        <f t="shared" si="1"/>
        <v>46183</v>
      </c>
      <c r="C11" s="9" t="s">
        <v>43</v>
      </c>
      <c r="D11" s="9" t="s">
        <v>47</v>
      </c>
      <c r="E11" s="12"/>
      <c r="F11" s="9" t="s">
        <v>85</v>
      </c>
      <c r="G11" s="9" t="s">
        <v>78</v>
      </c>
      <c r="H11" s="19"/>
    </row>
    <row r="12">
      <c r="A12" s="17">
        <v>10.0</v>
      </c>
      <c r="B12" s="21">
        <f t="shared" si="1"/>
        <v>46190</v>
      </c>
      <c r="C12" s="9" t="s">
        <v>47</v>
      </c>
      <c r="D12" s="9" t="s">
        <v>43</v>
      </c>
      <c r="E12" s="12"/>
      <c r="F12" s="9" t="s">
        <v>83</v>
      </c>
      <c r="G12" s="9" t="s">
        <v>78</v>
      </c>
      <c r="H12" s="19"/>
    </row>
    <row r="13">
      <c r="A13" s="17">
        <v>11.0</v>
      </c>
      <c r="B13" s="22">
        <f t="shared" si="1"/>
        <v>46197</v>
      </c>
      <c r="C13" s="9" t="s">
        <v>43</v>
      </c>
      <c r="D13" s="9" t="s">
        <v>47</v>
      </c>
      <c r="E13" s="12"/>
      <c r="F13" s="9" t="s">
        <v>80</v>
      </c>
      <c r="G13" s="9" t="s">
        <v>78</v>
      </c>
      <c r="H13" s="19"/>
    </row>
    <row r="14">
      <c r="A14" s="17">
        <v>12.0</v>
      </c>
      <c r="B14" s="21">
        <f t="shared" si="1"/>
        <v>46204</v>
      </c>
      <c r="C14" s="9" t="s">
        <v>47</v>
      </c>
      <c r="D14" s="9" t="s">
        <v>43</v>
      </c>
      <c r="E14" s="12"/>
      <c r="F14" s="9" t="s">
        <v>81</v>
      </c>
      <c r="G14" s="9" t="s">
        <v>78</v>
      </c>
      <c r="H14" s="19"/>
    </row>
    <row r="15">
      <c r="A15" s="17">
        <v>13.0</v>
      </c>
      <c r="B15" s="22">
        <f t="shared" si="1"/>
        <v>46211</v>
      </c>
      <c r="C15" s="9" t="s">
        <v>43</v>
      </c>
      <c r="D15" s="9" t="s">
        <v>47</v>
      </c>
      <c r="E15" s="12"/>
      <c r="F15" s="9" t="s">
        <v>82</v>
      </c>
      <c r="G15" s="9" t="s">
        <v>78</v>
      </c>
      <c r="H15" s="19"/>
    </row>
    <row r="16">
      <c r="A16" s="17">
        <v>14.0</v>
      </c>
      <c r="B16" s="21">
        <f t="shared" si="1"/>
        <v>46218</v>
      </c>
      <c r="C16" s="9" t="s">
        <v>47</v>
      </c>
      <c r="D16" s="9" t="s">
        <v>86</v>
      </c>
      <c r="E16" s="12"/>
      <c r="F16" s="9" t="s">
        <v>85</v>
      </c>
      <c r="G16" s="9" t="s">
        <v>78</v>
      </c>
      <c r="H16" s="23" t="s">
        <v>87</v>
      </c>
    </row>
    <row r="17">
      <c r="A17" s="17">
        <v>15.0</v>
      </c>
      <c r="B17" s="22">
        <f t="shared" si="1"/>
        <v>46225</v>
      </c>
      <c r="C17" s="9"/>
      <c r="D17" s="9" t="s">
        <v>86</v>
      </c>
      <c r="E17" s="12"/>
      <c r="F17" s="12"/>
      <c r="G17" s="9" t="s">
        <v>78</v>
      </c>
      <c r="H17" s="23" t="s">
        <v>88</v>
      </c>
    </row>
    <row r="18">
      <c r="A18" s="17"/>
      <c r="B18" s="24"/>
      <c r="C18" s="12"/>
      <c r="D18" s="12"/>
      <c r="E18" s="12"/>
      <c r="F18" s="12"/>
      <c r="G18" s="12"/>
      <c r="H18" s="25"/>
    </row>
    <row r="19">
      <c r="A19" s="23" t="s">
        <v>89</v>
      </c>
      <c r="B19" s="26"/>
      <c r="C19" s="27"/>
      <c r="D19" s="27"/>
      <c r="E19" s="27"/>
      <c r="F19" s="27"/>
      <c r="G19" s="27"/>
      <c r="H19" s="25"/>
    </row>
    <row r="20">
      <c r="A20" s="27"/>
      <c r="B20" s="24"/>
      <c r="C20" s="12"/>
      <c r="D20" s="12"/>
      <c r="E20" s="12"/>
      <c r="F20" s="12"/>
      <c r="G20" s="12"/>
      <c r="H20" s="25"/>
    </row>
    <row r="21">
      <c r="A21" s="17"/>
      <c r="B21" s="24"/>
      <c r="C21" s="12"/>
      <c r="D21" s="12"/>
      <c r="E21" s="12"/>
      <c r="F21" s="12"/>
      <c r="G21" s="12"/>
      <c r="H21" s="25"/>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90</v>
      </c>
      <c r="B1" s="29" t="s">
        <v>91</v>
      </c>
    </row>
    <row r="2">
      <c r="A2" s="30"/>
      <c r="B2" s="31"/>
    </row>
    <row r="3">
      <c r="A3" s="30"/>
      <c r="B3" s="32" t="s">
        <v>92</v>
      </c>
    </row>
    <row r="4">
      <c r="A4" s="30"/>
      <c r="B4" s="32" t="s">
        <v>93</v>
      </c>
    </row>
    <row r="5">
      <c r="A5" s="33"/>
      <c r="B5" s="34"/>
    </row>
    <row r="6">
      <c r="A6" s="33" t="s">
        <v>94</v>
      </c>
      <c r="B6" s="29" t="s">
        <v>95</v>
      </c>
    </row>
    <row r="7">
      <c r="A7" s="30"/>
      <c r="B7" s="32" t="s">
        <v>96</v>
      </c>
    </row>
    <row r="8">
      <c r="A8" s="30"/>
      <c r="B8" s="32" t="s">
        <v>97</v>
      </c>
    </row>
    <row r="9">
      <c r="A9" s="30"/>
      <c r="B9" s="32" t="s">
        <v>98</v>
      </c>
    </row>
    <row r="10">
      <c r="A10" s="33"/>
      <c r="B10" s="10" t="s">
        <v>99</v>
      </c>
    </row>
    <row r="11">
      <c r="A11" s="33"/>
      <c r="B11" s="29" t="s">
        <v>100</v>
      </c>
    </row>
    <row r="12">
      <c r="A12" s="33"/>
      <c r="B12" s="29" t="s">
        <v>101</v>
      </c>
    </row>
    <row r="13">
      <c r="A13" s="33" t="s">
        <v>102</v>
      </c>
      <c r="B13" s="34"/>
    </row>
    <row r="14">
      <c r="A14" s="30"/>
      <c r="B14" s="32" t="s">
        <v>103</v>
      </c>
    </row>
    <row r="15">
      <c r="A15" s="30"/>
      <c r="B15" s="32" t="s">
        <v>104</v>
      </c>
    </row>
    <row r="16">
      <c r="A16" s="33"/>
      <c r="B16" s="29" t="s">
        <v>105</v>
      </c>
    </row>
    <row r="17">
      <c r="A17" s="33"/>
      <c r="B17" s="29" t="s">
        <v>106</v>
      </c>
    </row>
    <row r="18">
      <c r="A18" s="33"/>
      <c r="B18" s="29" t="s">
        <v>107</v>
      </c>
    </row>
    <row r="19">
      <c r="B19" s="10" t="s">
        <v>108</v>
      </c>
    </row>
    <row r="20">
      <c r="A20" s="33"/>
      <c r="B20" s="29" t="s">
        <v>109</v>
      </c>
    </row>
    <row r="21">
      <c r="A21" s="33"/>
      <c r="B21" s="29" t="s">
        <v>110</v>
      </c>
    </row>
    <row r="22">
      <c r="A22" s="33"/>
      <c r="B22" s="35" t="s">
        <v>111</v>
      </c>
    </row>
    <row r="23">
      <c r="A23" s="33"/>
      <c r="B23" s="29" t="s">
        <v>112</v>
      </c>
    </row>
    <row r="24">
      <c r="A24" s="33" t="s">
        <v>113</v>
      </c>
      <c r="B24" s="29"/>
    </row>
    <row r="25">
      <c r="A25" s="30"/>
      <c r="B25" s="29" t="s">
        <v>114</v>
      </c>
    </row>
    <row r="26">
      <c r="A26" s="33"/>
      <c r="B26" s="32" t="s">
        <v>115</v>
      </c>
    </row>
    <row r="27">
      <c r="A27" s="33"/>
      <c r="B27" s="32" t="s">
        <v>116</v>
      </c>
    </row>
    <row r="28">
      <c r="A28" s="33" t="s">
        <v>117</v>
      </c>
      <c r="B28" s="32"/>
    </row>
    <row r="29">
      <c r="A29" s="30"/>
      <c r="B29" s="32"/>
    </row>
    <row r="30">
      <c r="A30" s="30"/>
      <c r="B30" s="34"/>
    </row>
    <row r="31">
      <c r="A31" s="30"/>
      <c r="B31" s="32" t="s">
        <v>118</v>
      </c>
    </row>
    <row r="32">
      <c r="A32" s="30"/>
      <c r="B32" s="32" t="s">
        <v>119</v>
      </c>
    </row>
    <row r="33">
      <c r="A33" s="33"/>
      <c r="B33" s="32" t="s">
        <v>120</v>
      </c>
    </row>
    <row r="34">
      <c r="A34" s="33"/>
      <c r="B34" s="32" t="s">
        <v>121</v>
      </c>
    </row>
    <row r="35">
      <c r="A35" s="33"/>
      <c r="B35" s="29" t="s">
        <v>122</v>
      </c>
    </row>
    <row r="36">
      <c r="A36" s="33"/>
      <c r="B36" s="29" t="s">
        <v>123</v>
      </c>
    </row>
    <row r="37">
      <c r="A37" s="33" t="s">
        <v>124</v>
      </c>
      <c r="B37" s="29"/>
    </row>
    <row r="38">
      <c r="A38" s="31"/>
      <c r="B38" s="29" t="s">
        <v>125</v>
      </c>
    </row>
    <row r="39">
      <c r="A39" s="31"/>
      <c r="B39" s="29" t="s">
        <v>126</v>
      </c>
    </row>
    <row r="40">
      <c r="A40" s="33"/>
      <c r="B40" s="32"/>
    </row>
    <row r="41">
      <c r="A41" s="33" t="s">
        <v>127</v>
      </c>
      <c r="B41" s="32" t="s">
        <v>128</v>
      </c>
    </row>
    <row r="42">
      <c r="A42" s="31"/>
      <c r="B42" s="32"/>
    </row>
    <row r="43">
      <c r="A43" s="36"/>
      <c r="B43" s="29" t="s">
        <v>129</v>
      </c>
    </row>
    <row r="44">
      <c r="A44" s="36" t="s">
        <v>130</v>
      </c>
      <c r="B44" s="31"/>
    </row>
    <row r="45">
      <c r="A45" s="36"/>
      <c r="B45" s="29"/>
    </row>
    <row r="46">
      <c r="A46" s="31"/>
      <c r="B46" s="29" t="s">
        <v>131</v>
      </c>
    </row>
    <row r="47">
      <c r="A47" s="36" t="s">
        <v>132</v>
      </c>
      <c r="B47" s="34"/>
    </row>
    <row r="48">
      <c r="A48" s="31"/>
      <c r="B48" s="32" t="s">
        <v>133</v>
      </c>
    </row>
    <row r="49">
      <c r="A49" s="33" t="s">
        <v>134</v>
      </c>
      <c r="B49" s="34"/>
    </row>
    <row r="50">
      <c r="B50" s="31"/>
    </row>
    <row r="51">
      <c r="A51" s="37" t="s">
        <v>74</v>
      </c>
      <c r="B51" s="10" t="s">
        <v>135</v>
      </c>
    </row>
    <row r="52">
      <c r="A52" s="37" t="s">
        <v>136</v>
      </c>
      <c r="B52" s="10" t="s">
        <v>137</v>
      </c>
    </row>
    <row r="53">
      <c r="A53" s="37" t="s">
        <v>136</v>
      </c>
      <c r="B53" s="10" t="s">
        <v>138</v>
      </c>
    </row>
    <row r="54">
      <c r="A54" s="37" t="s">
        <v>139</v>
      </c>
      <c r="B54" s="10" t="s">
        <v>80</v>
      </c>
    </row>
    <row r="55">
      <c r="A55" s="37" t="s">
        <v>139</v>
      </c>
      <c r="B55" s="10" t="s">
        <v>81</v>
      </c>
    </row>
    <row r="56">
      <c r="A56" s="37" t="s">
        <v>139</v>
      </c>
      <c r="B56" s="10" t="s">
        <v>83</v>
      </c>
    </row>
    <row r="57">
      <c r="A57" s="37" t="s">
        <v>139</v>
      </c>
      <c r="B57" s="10" t="s">
        <v>140</v>
      </c>
    </row>
    <row r="58">
      <c r="A58" s="37" t="s">
        <v>139</v>
      </c>
      <c r="B58" s="10" t="s">
        <v>85</v>
      </c>
    </row>
    <row r="59">
      <c r="A59" s="37" t="s">
        <v>139</v>
      </c>
      <c r="B59" s="10" t="s">
        <v>79</v>
      </c>
    </row>
    <row r="60">
      <c r="A60" s="10" t="s">
        <v>139</v>
      </c>
      <c r="B60" s="10" t="s">
        <v>84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8" t="s">
        <v>141</v>
      </c>
      <c r="B1" s="38" t="s">
        <v>142</v>
      </c>
    </row>
    <row r="2">
      <c r="A2" s="39"/>
      <c r="B2" s="40"/>
    </row>
    <row r="3">
      <c r="A3" s="41" t="s">
        <v>143</v>
      </c>
      <c r="B3" s="41" t="s">
        <v>144</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2" t="s">
        <v>145</v>
      </c>
      <c r="B1" s="42" t="s">
        <v>146</v>
      </c>
    </row>
    <row r="2">
      <c r="A2" s="43" t="s">
        <v>147</v>
      </c>
      <c r="B2" s="44" t="s">
        <v>148</v>
      </c>
    </row>
    <row r="3">
      <c r="A3" s="43" t="s">
        <v>149</v>
      </c>
      <c r="B3" s="44" t="s">
        <v>150</v>
      </c>
    </row>
    <row r="4">
      <c r="A4" s="43" t="s">
        <v>151</v>
      </c>
      <c r="B4" s="44" t="s">
        <v>152</v>
      </c>
    </row>
    <row r="5">
      <c r="A5" s="43" t="s">
        <v>153</v>
      </c>
      <c r="B5" s="44" t="s">
        <v>154</v>
      </c>
    </row>
    <row r="6">
      <c r="A6" s="43" t="s">
        <v>155</v>
      </c>
      <c r="B6" s="44" t="s">
        <v>156</v>
      </c>
    </row>
    <row r="7">
      <c r="A7" s="43" t="s">
        <v>157</v>
      </c>
      <c r="B7" s="44" t="s">
        <v>158</v>
      </c>
    </row>
    <row r="8">
      <c r="A8" s="43" t="s">
        <v>159</v>
      </c>
      <c r="B8" s="44" t="s">
        <v>160</v>
      </c>
    </row>
    <row r="9">
      <c r="A9" s="43" t="s">
        <v>161</v>
      </c>
      <c r="B9" s="44" t="s">
        <v>162</v>
      </c>
    </row>
    <row r="10">
      <c r="A10" s="43" t="s">
        <v>163</v>
      </c>
      <c r="B10" s="44" t="s">
        <v>164</v>
      </c>
    </row>
    <row r="11">
      <c r="A11" s="43" t="s">
        <v>165</v>
      </c>
      <c r="B11" s="44" t="s">
        <v>166</v>
      </c>
    </row>
    <row r="12">
      <c r="A12" s="43" t="s">
        <v>167</v>
      </c>
      <c r="B12" s="44" t="s">
        <v>168</v>
      </c>
    </row>
    <row r="13">
      <c r="A13" s="43" t="s">
        <v>169</v>
      </c>
      <c r="B13" s="44" t="s">
        <v>170</v>
      </c>
    </row>
    <row r="14">
      <c r="A14" s="43" t="s">
        <v>171</v>
      </c>
      <c r="B14" s="44" t="s">
        <v>172</v>
      </c>
    </row>
    <row r="15">
      <c r="A15" s="43" t="s">
        <v>173</v>
      </c>
      <c r="B15" s="44" t="s">
        <v>174</v>
      </c>
    </row>
    <row r="16">
      <c r="A16" s="43" t="s">
        <v>175</v>
      </c>
      <c r="B16" s="44" t="s">
        <v>176</v>
      </c>
    </row>
    <row r="17">
      <c r="A17" s="43" t="s">
        <v>177</v>
      </c>
      <c r="B17" s="44" t="s">
        <v>178</v>
      </c>
    </row>
    <row r="18">
      <c r="A18" s="43" t="s">
        <v>179</v>
      </c>
      <c r="B18" s="44" t="s">
        <v>180</v>
      </c>
    </row>
    <row r="19">
      <c r="A19" s="43" t="s">
        <v>181</v>
      </c>
      <c r="B19" s="44" t="s">
        <v>182</v>
      </c>
    </row>
    <row r="20">
      <c r="A20" s="43" t="s">
        <v>183</v>
      </c>
      <c r="B20" s="44" t="s">
        <v>184</v>
      </c>
    </row>
    <row r="21">
      <c r="A21" s="43" t="s">
        <v>185</v>
      </c>
      <c r="B21" s="44" t="s">
        <v>186</v>
      </c>
    </row>
    <row r="22">
      <c r="A22" s="43" t="s">
        <v>187</v>
      </c>
      <c r="B22" s="44" t="s">
        <v>188</v>
      </c>
    </row>
    <row r="23">
      <c r="A23" s="43" t="s">
        <v>189</v>
      </c>
      <c r="B23" s="44" t="s">
        <v>190</v>
      </c>
    </row>
    <row r="24">
      <c r="A24" s="43" t="s">
        <v>191</v>
      </c>
      <c r="B24" s="44" t="s">
        <v>192</v>
      </c>
    </row>
    <row r="25">
      <c r="A25" s="43" t="s">
        <v>193</v>
      </c>
      <c r="B25" s="44" t="s">
        <v>194</v>
      </c>
    </row>
    <row r="26">
      <c r="A26" s="43" t="s">
        <v>195</v>
      </c>
      <c r="B26" s="44" t="s">
        <v>196</v>
      </c>
    </row>
    <row r="27">
      <c r="A27" s="43" t="s">
        <v>197</v>
      </c>
      <c r="B27" s="44" t="s">
        <v>198</v>
      </c>
    </row>
    <row r="28">
      <c r="A28" s="43" t="s">
        <v>199</v>
      </c>
      <c r="B28" s="44" t="s">
        <v>200</v>
      </c>
    </row>
    <row r="29">
      <c r="A29" s="43" t="s">
        <v>201</v>
      </c>
      <c r="B29" s="44" t="s">
        <v>202</v>
      </c>
    </row>
    <row r="30">
      <c r="A30" s="43" t="s">
        <v>203</v>
      </c>
      <c r="B30" s="44" t="s">
        <v>204</v>
      </c>
    </row>
    <row r="31">
      <c r="A31" s="43" t="s">
        <v>205</v>
      </c>
      <c r="B31" s="44" t="s">
        <v>206</v>
      </c>
    </row>
    <row r="32">
      <c r="A32" s="43" t="s">
        <v>207</v>
      </c>
      <c r="B32" s="44" t="s">
        <v>208</v>
      </c>
    </row>
    <row r="33">
      <c r="A33" s="43" t="s">
        <v>209</v>
      </c>
      <c r="B33" s="44" t="s">
        <v>210</v>
      </c>
    </row>
    <row r="34">
      <c r="A34" s="43" t="s">
        <v>211</v>
      </c>
      <c r="B34" s="44" t="s">
        <v>212</v>
      </c>
    </row>
    <row r="35">
      <c r="A35" s="43" t="s">
        <v>213</v>
      </c>
      <c r="B35" s="44" t="s">
        <v>214</v>
      </c>
    </row>
    <row r="36">
      <c r="A36" s="43" t="s">
        <v>215</v>
      </c>
      <c r="B36" s="44" t="s">
        <v>216</v>
      </c>
    </row>
    <row r="37">
      <c r="A37" s="43" t="s">
        <v>217</v>
      </c>
      <c r="B37" s="44" t="s">
        <v>218</v>
      </c>
    </row>
    <row r="38">
      <c r="A38" s="43" t="s">
        <v>219</v>
      </c>
      <c r="B38" s="44" t="s">
        <v>220</v>
      </c>
    </row>
    <row r="39">
      <c r="A39" s="43" t="s">
        <v>221</v>
      </c>
      <c r="B39" s="44" t="s">
        <v>222</v>
      </c>
    </row>
    <row r="40">
      <c r="A40" s="43" t="s">
        <v>223</v>
      </c>
      <c r="B40" s="44" t="s">
        <v>224</v>
      </c>
    </row>
    <row r="41">
      <c r="A41" s="43" t="s">
        <v>225</v>
      </c>
      <c r="B41" s="44" t="s">
        <v>226</v>
      </c>
    </row>
    <row r="42">
      <c r="A42" s="43" t="s">
        <v>227</v>
      </c>
      <c r="B42" s="44" t="s">
        <v>228</v>
      </c>
    </row>
    <row r="43">
      <c r="A43" s="43" t="s">
        <v>229</v>
      </c>
      <c r="B43" s="44" t="s">
        <v>230</v>
      </c>
    </row>
    <row r="44">
      <c r="A44" s="43" t="s">
        <v>231</v>
      </c>
      <c r="B44" s="44" t="s">
        <v>232</v>
      </c>
    </row>
    <row r="45">
      <c r="A45" s="43" t="s">
        <v>233</v>
      </c>
      <c r="B45" s="44" t="s">
        <v>234</v>
      </c>
    </row>
    <row r="46">
      <c r="A46" s="43" t="s">
        <v>235</v>
      </c>
      <c r="B46" s="44" t="s">
        <v>236</v>
      </c>
    </row>
    <row r="47">
      <c r="A47" s="43" t="s">
        <v>237</v>
      </c>
      <c r="B47" s="44" t="s">
        <v>238</v>
      </c>
    </row>
    <row r="48">
      <c r="A48" s="43" t="s">
        <v>239</v>
      </c>
      <c r="B48" s="44" t="s">
        <v>240</v>
      </c>
    </row>
    <row r="49">
      <c r="A49" s="43" t="s">
        <v>241</v>
      </c>
      <c r="B49" s="44" t="s">
        <v>242</v>
      </c>
    </row>
    <row r="50">
      <c r="A50" s="43" t="s">
        <v>243</v>
      </c>
      <c r="B50" s="44" t="s">
        <v>244</v>
      </c>
    </row>
    <row r="51">
      <c r="A51" s="43" t="s">
        <v>245</v>
      </c>
      <c r="B51" s="44" t="s">
        <v>246</v>
      </c>
    </row>
    <row r="52">
      <c r="A52" s="43" t="s">
        <v>247</v>
      </c>
      <c r="B52" s="44" t="s">
        <v>248</v>
      </c>
    </row>
    <row r="53">
      <c r="A53" s="43" t="s">
        <v>249</v>
      </c>
      <c r="B53" s="44" t="s">
        <v>250</v>
      </c>
    </row>
    <row r="54">
      <c r="A54" s="43" t="s">
        <v>251</v>
      </c>
      <c r="B54" s="44" t="s">
        <v>252</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5" t="s">
        <v>253</v>
      </c>
      <c r="B1" s="4" t="s">
        <v>254</v>
      </c>
    </row>
    <row r="2">
      <c r="A2" s="46">
        <v>1.0</v>
      </c>
      <c r="B2" s="2" t="s">
        <v>255</v>
      </c>
    </row>
    <row r="3">
      <c r="A3" s="46">
        <f t="shared" ref="A3:A16" si="1">A2+1</f>
        <v>2</v>
      </c>
      <c r="B3" s="2" t="s">
        <v>255</v>
      </c>
    </row>
    <row r="4">
      <c r="A4" s="46">
        <f t="shared" si="1"/>
        <v>3</v>
      </c>
      <c r="B4" s="2" t="s">
        <v>255</v>
      </c>
    </row>
    <row r="5">
      <c r="A5" s="46">
        <f t="shared" si="1"/>
        <v>4</v>
      </c>
      <c r="B5" s="10" t="s">
        <v>256</v>
      </c>
    </row>
    <row r="6">
      <c r="A6" s="46">
        <f t="shared" si="1"/>
        <v>5</v>
      </c>
      <c r="B6" s="2" t="s">
        <v>257</v>
      </c>
    </row>
    <row r="7">
      <c r="A7" s="46">
        <f t="shared" si="1"/>
        <v>6</v>
      </c>
      <c r="B7" s="2" t="s">
        <v>258</v>
      </c>
    </row>
    <row r="8">
      <c r="A8" s="46">
        <f t="shared" si="1"/>
        <v>7</v>
      </c>
      <c r="B8" s="2" t="s">
        <v>259</v>
      </c>
    </row>
    <row r="9">
      <c r="A9" s="46">
        <f t="shared" si="1"/>
        <v>8</v>
      </c>
      <c r="B9" s="2" t="s">
        <v>260</v>
      </c>
    </row>
    <row r="10">
      <c r="A10" s="46">
        <f t="shared" si="1"/>
        <v>9</v>
      </c>
      <c r="B10" s="3"/>
    </row>
    <row r="11">
      <c r="A11" s="46">
        <f t="shared" si="1"/>
        <v>10</v>
      </c>
      <c r="B11" s="3"/>
    </row>
    <row r="12">
      <c r="A12" s="46">
        <f t="shared" si="1"/>
        <v>11</v>
      </c>
      <c r="B12" s="3"/>
    </row>
    <row r="13">
      <c r="A13" s="46">
        <f t="shared" si="1"/>
        <v>12</v>
      </c>
      <c r="B13" s="3"/>
    </row>
    <row r="14">
      <c r="A14" s="46">
        <f t="shared" si="1"/>
        <v>13</v>
      </c>
      <c r="B14" s="3"/>
    </row>
    <row r="15">
      <c r="A15" s="46">
        <f t="shared" si="1"/>
        <v>14</v>
      </c>
      <c r="B15" s="3"/>
    </row>
    <row r="16">
      <c r="A16" s="46">
        <f t="shared" si="1"/>
        <v>15</v>
      </c>
      <c r="B16" s="3"/>
    </row>
    <row r="17">
      <c r="A17" s="46"/>
      <c r="B17" s="3"/>
    </row>
    <row r="18">
      <c r="A18" s="46"/>
      <c r="B18" s="3"/>
    </row>
    <row r="19">
      <c r="A19" s="47"/>
      <c r="B19" s="3"/>
    </row>
    <row r="20">
      <c r="A20" s="47"/>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7.13"/>
    <col customWidth="1" min="3" max="3" width="14.5"/>
  </cols>
  <sheetData>
    <row r="1">
      <c r="A1" s="45" t="s">
        <v>253</v>
      </c>
      <c r="B1" s="4" t="s">
        <v>261</v>
      </c>
      <c r="C1" s="4" t="s">
        <v>262</v>
      </c>
    </row>
    <row r="2">
      <c r="A2" s="46">
        <v>1.0</v>
      </c>
      <c r="C2" s="10">
        <f>AVERAGE(B2:B16)</f>
        <v>23.4</v>
      </c>
    </row>
    <row r="3">
      <c r="A3" s="46">
        <f t="shared" ref="A3:A14" si="1">A2+1</f>
        <v>2</v>
      </c>
      <c r="B3" s="2">
        <v>23.0</v>
      </c>
      <c r="C3" s="2">
        <f>AVERAGE(B2:B16)</f>
        <v>23.4</v>
      </c>
    </row>
    <row r="4">
      <c r="A4" s="46">
        <f t="shared" si="1"/>
        <v>3</v>
      </c>
      <c r="B4" s="48">
        <v>18.0</v>
      </c>
      <c r="C4" s="48">
        <f>AVERAGE(B2:B16)</f>
        <v>23.4</v>
      </c>
    </row>
    <row r="5">
      <c r="A5" s="46">
        <f t="shared" si="1"/>
        <v>4</v>
      </c>
      <c r="B5" s="2">
        <v>13.0</v>
      </c>
      <c r="C5" s="2">
        <f>AVERAGE(B2:B16)</f>
        <v>23.4</v>
      </c>
    </row>
    <row r="6">
      <c r="A6" s="46">
        <f t="shared" si="1"/>
        <v>5</v>
      </c>
      <c r="B6" s="2">
        <v>37.0</v>
      </c>
      <c r="C6" s="2">
        <f>AVERAGE(B2:B16)</f>
        <v>23.4</v>
      </c>
    </row>
    <row r="7">
      <c r="A7" s="46">
        <f t="shared" si="1"/>
        <v>6</v>
      </c>
      <c r="B7" s="2">
        <v>26.0</v>
      </c>
      <c r="C7" s="3">
        <f>AVERAGE(B2:B16)</f>
        <v>23.4</v>
      </c>
    </row>
    <row r="8">
      <c r="A8" s="46">
        <f t="shared" si="1"/>
        <v>7</v>
      </c>
      <c r="B8" s="3"/>
      <c r="C8" s="3">
        <f>AVERAGE(B2:B16)</f>
        <v>23.4</v>
      </c>
    </row>
    <row r="9">
      <c r="A9" s="46">
        <f t="shared" si="1"/>
        <v>8</v>
      </c>
      <c r="B9" s="3"/>
      <c r="C9" s="3">
        <f>AVERAGE(B2:B16)</f>
        <v>23.4</v>
      </c>
    </row>
    <row r="10">
      <c r="A10" s="46">
        <f t="shared" si="1"/>
        <v>9</v>
      </c>
      <c r="B10" s="3"/>
      <c r="C10" s="3">
        <f>AVERAGE(B2:B16)</f>
        <v>23.4</v>
      </c>
    </row>
    <row r="11">
      <c r="A11" s="46">
        <f t="shared" si="1"/>
        <v>10</v>
      </c>
      <c r="B11" s="3"/>
      <c r="C11" s="3">
        <f>AVERAGE(B2:B16)</f>
        <v>23.4</v>
      </c>
    </row>
    <row r="12">
      <c r="A12" s="46">
        <f t="shared" si="1"/>
        <v>11</v>
      </c>
      <c r="B12" s="3"/>
      <c r="C12" s="3">
        <f>AVERAGE(B2:B16)</f>
        <v>23.4</v>
      </c>
    </row>
    <row r="13">
      <c r="A13" s="46">
        <f t="shared" si="1"/>
        <v>12</v>
      </c>
      <c r="B13" s="3"/>
      <c r="C13" s="3">
        <f>AVERAGE(B2:B16)</f>
        <v>23.4</v>
      </c>
    </row>
    <row r="14">
      <c r="A14" s="46">
        <f t="shared" si="1"/>
        <v>13</v>
      </c>
      <c r="B14" s="3"/>
      <c r="C14" s="3">
        <f>AVERAGE(B2:B16)</f>
        <v>23.4</v>
      </c>
    </row>
    <row r="15">
      <c r="A15" s="46"/>
      <c r="B15" s="3"/>
      <c r="C15" s="3"/>
    </row>
    <row r="16">
      <c r="A16" s="46"/>
      <c r="B16" s="3"/>
      <c r="C16" s="3"/>
    </row>
    <row r="17">
      <c r="A17" s="46"/>
      <c r="B17" s="3"/>
      <c r="C17" s="3"/>
    </row>
    <row r="18">
      <c r="A18" s="46"/>
      <c r="B18" s="49" t="s">
        <v>263</v>
      </c>
      <c r="C18" s="49"/>
    </row>
    <row r="19">
      <c r="A19" s="47"/>
      <c r="B19" s="3"/>
      <c r="C19"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2.63"/>
  </cols>
  <sheetData>
    <row r="1" ht="225.0"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5.38"/>
    <col customWidth="1" min="3" max="3" width="62.63"/>
    <col customWidth="1" min="4" max="7" width="15.75"/>
  </cols>
  <sheetData>
    <row r="1">
      <c r="A1" s="50" t="s">
        <v>264</v>
      </c>
      <c r="B1" s="51" t="s">
        <v>265</v>
      </c>
      <c r="C1" s="52" t="s">
        <v>266</v>
      </c>
      <c r="D1" s="53" t="s">
        <v>267</v>
      </c>
      <c r="E1" s="53" t="s">
        <v>268</v>
      </c>
      <c r="F1" s="53" t="s">
        <v>269</v>
      </c>
      <c r="G1" s="53" t="s">
        <v>270</v>
      </c>
    </row>
    <row r="2">
      <c r="A2" s="54"/>
      <c r="B2" s="55"/>
      <c r="C2" s="34"/>
      <c r="D2" s="34"/>
      <c r="E2" s="34"/>
      <c r="F2" s="34"/>
      <c r="G2" s="34"/>
    </row>
    <row r="3">
      <c r="A3" s="56" t="s">
        <v>271</v>
      </c>
      <c r="B3" s="57"/>
      <c r="C3" s="58"/>
      <c r="D3" s="58"/>
      <c r="E3" s="58"/>
      <c r="F3" s="58"/>
      <c r="G3" s="58"/>
    </row>
    <row r="4">
      <c r="A4" s="54"/>
      <c r="B4" s="55"/>
      <c r="C4" s="34"/>
      <c r="D4" s="34"/>
      <c r="E4" s="34"/>
      <c r="F4" s="34"/>
      <c r="G4" s="34"/>
    </row>
    <row r="5">
      <c r="A5" s="59" t="s">
        <v>272</v>
      </c>
      <c r="B5" s="60"/>
      <c r="C5" s="31"/>
      <c r="D5" s="61">
        <f>sum(D8:D15)</f>
        <v>121</v>
      </c>
      <c r="E5" s="61">
        <f>D5</f>
        <v>121</v>
      </c>
      <c r="F5" s="31"/>
      <c r="G5" s="31"/>
    </row>
    <row r="6">
      <c r="A6" s="54"/>
      <c r="B6" s="55"/>
      <c r="C6" s="34"/>
      <c r="D6" s="34"/>
      <c r="E6" s="34"/>
      <c r="F6" s="34"/>
      <c r="G6" s="34"/>
    </row>
    <row r="7">
      <c r="A7" s="62" t="s">
        <v>273</v>
      </c>
      <c r="B7" s="63"/>
      <c r="C7" s="64"/>
      <c r="D7" s="64"/>
      <c r="E7" s="64"/>
      <c r="F7" s="64"/>
      <c r="G7" s="64"/>
    </row>
    <row r="8">
      <c r="A8" s="54"/>
      <c r="B8" s="55"/>
      <c r="C8" s="34"/>
      <c r="D8" s="34"/>
      <c r="E8" s="65" t="s">
        <v>274</v>
      </c>
      <c r="F8" s="34"/>
      <c r="G8" s="65" t="s">
        <v>275</v>
      </c>
    </row>
    <row r="9" ht="27.75" customHeight="1">
      <c r="A9" s="66">
        <v>1.0</v>
      </c>
      <c r="B9" s="67" t="s">
        <v>276</v>
      </c>
      <c r="C9" s="32"/>
      <c r="D9" s="61">
        <f>sum(D18:D24)</f>
        <v>0</v>
      </c>
      <c r="E9" s="61">
        <f>$D$5</f>
        <v>121</v>
      </c>
      <c r="F9" s="61">
        <f>sum(F18:F24)</f>
        <v>0</v>
      </c>
      <c r="G9" s="61">
        <f>$D$5</f>
        <v>121</v>
      </c>
    </row>
    <row r="10">
      <c r="A10" s="54">
        <f t="shared" ref="A10:A11" si="1">A9+1</f>
        <v>2</v>
      </c>
      <c r="B10" s="68" t="s">
        <v>277</v>
      </c>
      <c r="C10" s="34"/>
      <c r="D10" s="69">
        <f>sum(D25:D30)</f>
        <v>24</v>
      </c>
      <c r="E10" s="69">
        <f t="shared" ref="E10:E14" si="2">E9-D9</f>
        <v>121</v>
      </c>
      <c r="F10" s="69">
        <f>sum(F25:F30)</f>
        <v>23</v>
      </c>
      <c r="G10" s="69">
        <f t="shared" ref="G10:G14" si="3">G9-F9</f>
        <v>121</v>
      </c>
    </row>
    <row r="11">
      <c r="A11" s="66">
        <f t="shared" si="1"/>
        <v>3</v>
      </c>
      <c r="B11" s="70" t="s">
        <v>278</v>
      </c>
      <c r="C11" s="31"/>
      <c r="D11" s="61">
        <f>sum(D31:D35)</f>
        <v>18</v>
      </c>
      <c r="E11" s="61">
        <f t="shared" si="2"/>
        <v>97</v>
      </c>
      <c r="F11" s="61">
        <f>sum(F31:F35)</f>
        <v>18</v>
      </c>
      <c r="G11" s="61">
        <f t="shared" si="3"/>
        <v>98</v>
      </c>
    </row>
    <row r="12">
      <c r="A12" s="71">
        <v>4.0</v>
      </c>
      <c r="B12" s="68" t="s">
        <v>279</v>
      </c>
      <c r="C12" s="34"/>
      <c r="D12" s="34">
        <f>sum(D36:D41)</f>
        <v>18</v>
      </c>
      <c r="E12" s="69">
        <f t="shared" si="2"/>
        <v>79</v>
      </c>
      <c r="F12" s="34">
        <f>sum(F36:F41)</f>
        <v>13</v>
      </c>
      <c r="G12" s="69">
        <f t="shared" si="3"/>
        <v>80</v>
      </c>
    </row>
    <row r="13">
      <c r="A13" s="72">
        <v>5.0</v>
      </c>
      <c r="B13" s="70" t="s">
        <v>280</v>
      </c>
      <c r="C13" s="31"/>
      <c r="D13" s="31">
        <f>sum(D42:D50)</f>
        <v>29</v>
      </c>
      <c r="E13" s="31">
        <f t="shared" si="2"/>
        <v>61</v>
      </c>
      <c r="F13" s="31">
        <f>sum(F42:F50)</f>
        <v>37</v>
      </c>
      <c r="G13" s="31">
        <f t="shared" si="3"/>
        <v>67</v>
      </c>
    </row>
    <row r="14">
      <c r="A14" s="72">
        <v>6.0</v>
      </c>
      <c r="B14" s="70" t="s">
        <v>258</v>
      </c>
      <c r="C14" s="31"/>
      <c r="D14" s="31">
        <f>sum(D51:D58)</f>
        <v>32</v>
      </c>
      <c r="E14" s="31">
        <f t="shared" si="2"/>
        <v>32</v>
      </c>
      <c r="F14" s="31">
        <f>sum(F51:F58)</f>
        <v>26</v>
      </c>
      <c r="G14" s="31">
        <f t="shared" si="3"/>
        <v>30</v>
      </c>
    </row>
    <row r="15">
      <c r="A15" s="66"/>
      <c r="B15" s="73"/>
      <c r="C15" s="31"/>
      <c r="D15" s="31"/>
      <c r="E15" s="31"/>
      <c r="F15" s="31"/>
      <c r="G15" s="31"/>
    </row>
    <row r="16">
      <c r="A16" s="74" t="s">
        <v>281</v>
      </c>
      <c r="B16" s="75"/>
      <c r="C16" s="76"/>
      <c r="D16" s="76"/>
      <c r="E16" s="76"/>
      <c r="F16" s="76"/>
      <c r="G16" s="76"/>
    </row>
    <row r="17">
      <c r="A17" s="66"/>
      <c r="B17" s="77"/>
      <c r="C17" s="31"/>
      <c r="D17" s="31"/>
      <c r="E17" s="31"/>
      <c r="F17" s="31"/>
      <c r="G17" s="31"/>
    </row>
    <row r="18" ht="26.25" customHeight="1">
      <c r="A18" s="78">
        <f t="shared" ref="A18:B18" si="4">A9</f>
        <v>1</v>
      </c>
      <c r="B18" s="79" t="str">
        <f t="shared" si="4"/>
        <v>Establish the project foundation by completing initial research, defining the app direction, and setting up the frontend development environment.</v>
      </c>
      <c r="C18" s="80" t="s">
        <v>282</v>
      </c>
      <c r="D18" s="34"/>
      <c r="E18" s="34"/>
      <c r="F18" s="34"/>
      <c r="G18" s="34"/>
    </row>
    <row r="19" ht="28.5" customHeight="1">
      <c r="A19" s="66"/>
      <c r="B19" s="81"/>
      <c r="C19" s="32" t="s">
        <v>283</v>
      </c>
      <c r="D19" s="31"/>
      <c r="E19" s="31"/>
      <c r="F19" s="31"/>
      <c r="G19" s="31"/>
    </row>
    <row r="20">
      <c r="A20" s="66"/>
      <c r="B20" s="81"/>
      <c r="C20" s="32" t="s">
        <v>284</v>
      </c>
      <c r="D20" s="31"/>
      <c r="E20" s="31"/>
      <c r="F20" s="31"/>
      <c r="G20" s="31"/>
    </row>
    <row r="21">
      <c r="A21" s="54"/>
      <c r="B21" s="55"/>
      <c r="C21" s="82" t="s">
        <v>285</v>
      </c>
      <c r="D21" s="83"/>
      <c r="E21" s="84"/>
      <c r="F21" s="83"/>
      <c r="G21" s="84"/>
    </row>
    <row r="22">
      <c r="A22" s="66"/>
      <c r="B22" s="81"/>
      <c r="C22" s="31"/>
      <c r="D22" s="61"/>
      <c r="E22" s="31"/>
      <c r="F22" s="61"/>
      <c r="G22" s="31"/>
    </row>
    <row r="23">
      <c r="A23" s="85"/>
      <c r="B23" s="86"/>
      <c r="C23" s="87"/>
      <c r="D23" s="69"/>
      <c r="E23" s="87"/>
      <c r="F23" s="69"/>
      <c r="G23" s="87"/>
    </row>
    <row r="24">
      <c r="A24" s="66"/>
      <c r="B24" s="81"/>
      <c r="C24" s="31"/>
      <c r="D24" s="61"/>
      <c r="E24" s="31"/>
      <c r="F24" s="61"/>
      <c r="G24" s="31"/>
    </row>
    <row r="25">
      <c r="A25" s="78">
        <f t="shared" ref="A25:B25" si="5">A10</f>
        <v>2</v>
      </c>
      <c r="B25" s="79" t="str">
        <f t="shared" si="5"/>
        <v>Deliver the first functional application prototype with document upload, authentication UI, architecture planning, and initial document analysis capabilities.</v>
      </c>
      <c r="C25" s="29" t="s">
        <v>286</v>
      </c>
      <c r="D25" s="29">
        <v>8.0</v>
      </c>
      <c r="E25" s="34"/>
      <c r="F25" s="29">
        <v>8.0</v>
      </c>
      <c r="G25" s="34"/>
    </row>
    <row r="26">
      <c r="A26" s="66"/>
      <c r="B26" s="81"/>
      <c r="C26" s="32" t="s">
        <v>287</v>
      </c>
      <c r="D26" s="32">
        <v>8.0</v>
      </c>
      <c r="E26" s="31"/>
      <c r="F26" s="32">
        <v>8.0</v>
      </c>
      <c r="G26" s="31"/>
    </row>
    <row r="27">
      <c r="A27" s="85"/>
      <c r="B27" s="86"/>
      <c r="C27" s="82" t="s">
        <v>288</v>
      </c>
      <c r="D27" s="88">
        <v>3.0</v>
      </c>
      <c r="E27" s="87"/>
      <c r="F27" s="88">
        <v>3.0</v>
      </c>
      <c r="G27" s="87"/>
    </row>
    <row r="28">
      <c r="A28" s="66"/>
      <c r="B28" s="81"/>
      <c r="C28" s="32" t="s">
        <v>289</v>
      </c>
      <c r="D28" s="48">
        <v>3.0</v>
      </c>
      <c r="E28" s="31"/>
      <c r="F28" s="48">
        <v>2.0</v>
      </c>
      <c r="G28" s="31"/>
    </row>
    <row r="29">
      <c r="A29" s="85"/>
      <c r="B29" s="86"/>
      <c r="C29" s="82" t="s">
        <v>290</v>
      </c>
      <c r="D29" s="88">
        <v>2.0</v>
      </c>
      <c r="E29" s="87"/>
      <c r="F29" s="88">
        <v>2.0</v>
      </c>
      <c r="G29" s="87"/>
    </row>
    <row r="30">
      <c r="A30" s="66"/>
      <c r="B30" s="81"/>
      <c r="C30" s="31"/>
      <c r="D30" s="61"/>
      <c r="E30" s="31"/>
      <c r="F30" s="61"/>
      <c r="G30" s="31"/>
    </row>
    <row r="31">
      <c r="A31" s="78">
        <f t="shared" ref="A31:B31" si="6">A11</f>
        <v>3</v>
      </c>
      <c r="B31" s="79" t="str">
        <f t="shared" si="6"/>
        <v>Build the core document management UI, define the app navigation structure, and implement document capture using the camera while establishing the backend cloud infrastructure.</v>
      </c>
      <c r="C31" s="29" t="s">
        <v>291</v>
      </c>
      <c r="D31" s="29">
        <v>3.0</v>
      </c>
      <c r="E31" s="34"/>
      <c r="F31" s="29">
        <v>5.0</v>
      </c>
      <c r="G31" s="34"/>
    </row>
    <row r="32">
      <c r="A32" s="66"/>
      <c r="B32" s="81"/>
      <c r="C32" s="32" t="s">
        <v>292</v>
      </c>
      <c r="D32" s="32">
        <v>5.0</v>
      </c>
      <c r="E32" s="31"/>
      <c r="F32" s="32">
        <v>3.0</v>
      </c>
      <c r="G32" s="31"/>
    </row>
    <row r="33">
      <c r="A33" s="85"/>
      <c r="B33" s="86"/>
      <c r="C33" s="82" t="s">
        <v>293</v>
      </c>
      <c r="D33" s="88">
        <v>5.0</v>
      </c>
      <c r="E33" s="87"/>
      <c r="F33" s="82">
        <v>5.0</v>
      </c>
      <c r="G33" s="87"/>
    </row>
    <row r="34">
      <c r="A34" s="66"/>
      <c r="B34" s="81"/>
      <c r="C34" s="32" t="s">
        <v>294</v>
      </c>
      <c r="D34" s="48">
        <v>5.0</v>
      </c>
      <c r="E34" s="31"/>
      <c r="F34" s="32">
        <v>5.0</v>
      </c>
      <c r="G34" s="31"/>
    </row>
    <row r="35">
      <c r="A35" s="85"/>
      <c r="B35" s="86"/>
      <c r="C35" s="34"/>
      <c r="D35" s="69"/>
      <c r="E35" s="87"/>
      <c r="F35" s="87"/>
      <c r="G35" s="87"/>
    </row>
    <row r="36">
      <c r="A36" s="71">
        <v>4.0</v>
      </c>
      <c r="B36" s="89" t="str">
        <f>B12</f>
        <v>Refine the knowledge graph pipeline, set up the database for persistent app storage, and implement a consistent layout.</v>
      </c>
      <c r="C36" s="29" t="s">
        <v>295</v>
      </c>
      <c r="D36" s="88">
        <v>8.0</v>
      </c>
      <c r="E36" s="82"/>
      <c r="F36" s="82">
        <v>5.0</v>
      </c>
      <c r="G36" s="87"/>
    </row>
    <row r="37">
      <c r="A37" s="85"/>
      <c r="B37" s="86"/>
      <c r="C37" s="29" t="s">
        <v>296</v>
      </c>
      <c r="D37" s="88">
        <v>5.0</v>
      </c>
      <c r="E37" s="87"/>
      <c r="F37" s="82">
        <v>5.0</v>
      </c>
      <c r="G37" s="87"/>
    </row>
    <row r="38">
      <c r="A38" s="85"/>
      <c r="B38" s="86"/>
      <c r="C38" s="29" t="s">
        <v>297</v>
      </c>
      <c r="D38" s="88">
        <v>5.0</v>
      </c>
      <c r="E38" s="87"/>
      <c r="F38" s="82">
        <v>3.0</v>
      </c>
      <c r="G38" s="87"/>
    </row>
    <row r="39">
      <c r="A39" s="85"/>
      <c r="B39" s="86"/>
      <c r="C39" s="34"/>
      <c r="D39" s="88"/>
      <c r="E39" s="87"/>
      <c r="F39" s="82"/>
      <c r="G39" s="87"/>
    </row>
    <row r="40">
      <c r="A40" s="85"/>
      <c r="B40" s="86"/>
      <c r="C40" s="34"/>
      <c r="D40" s="69"/>
      <c r="E40" s="87"/>
      <c r="F40" s="87"/>
      <c r="G40" s="87"/>
    </row>
    <row r="41">
      <c r="A41" s="71"/>
      <c r="B41" s="86"/>
      <c r="C41" s="34"/>
      <c r="D41" s="69"/>
      <c r="E41" s="87"/>
      <c r="F41" s="87"/>
      <c r="G41" s="87"/>
    </row>
    <row r="42">
      <c r="A42" s="71">
        <v>5.0</v>
      </c>
      <c r="B42" s="89" t="str">
        <f>B13</f>
        <v>Implement user authentication and backend integration for document uploads while building the frontend UI components and backend pipeline required for knowledge graph extraction.</v>
      </c>
      <c r="C42" s="29" t="s">
        <v>298</v>
      </c>
      <c r="D42" s="88">
        <v>1.0</v>
      </c>
      <c r="E42" s="87"/>
      <c r="F42" s="82">
        <v>1.0</v>
      </c>
      <c r="G42" s="87"/>
    </row>
    <row r="43">
      <c r="A43" s="71"/>
      <c r="B43" s="86"/>
      <c r="C43" s="29" t="s">
        <v>299</v>
      </c>
      <c r="D43" s="88">
        <v>3.0</v>
      </c>
      <c r="E43" s="87"/>
      <c r="F43" s="82">
        <v>2.0</v>
      </c>
      <c r="G43" s="87"/>
    </row>
    <row r="44">
      <c r="A44" s="71"/>
      <c r="B44" s="86"/>
      <c r="C44" s="29" t="s">
        <v>300</v>
      </c>
      <c r="D44" s="88">
        <v>5.0</v>
      </c>
      <c r="E44" s="87"/>
      <c r="F44" s="82">
        <v>5.0</v>
      </c>
      <c r="G44" s="87"/>
    </row>
    <row r="45">
      <c r="A45" s="71"/>
      <c r="B45" s="86"/>
      <c r="C45" s="29" t="s">
        <v>301</v>
      </c>
      <c r="D45" s="88">
        <v>2.0</v>
      </c>
      <c r="E45" s="87"/>
      <c r="F45" s="82">
        <v>3.0</v>
      </c>
      <c r="G45" s="87"/>
    </row>
    <row r="46">
      <c r="A46" s="71"/>
      <c r="B46" s="86"/>
      <c r="C46" s="29" t="s">
        <v>302</v>
      </c>
      <c r="D46" s="88">
        <v>2.0</v>
      </c>
      <c r="E46" s="87"/>
      <c r="F46" s="82">
        <v>2.0</v>
      </c>
      <c r="G46" s="87"/>
    </row>
    <row r="47">
      <c r="A47" s="71"/>
      <c r="B47" s="86"/>
      <c r="C47" s="29" t="s">
        <v>303</v>
      </c>
      <c r="D47" s="88">
        <v>8.0</v>
      </c>
      <c r="E47" s="87"/>
      <c r="F47" s="82">
        <v>13.0</v>
      </c>
      <c r="G47" s="87"/>
    </row>
    <row r="48">
      <c r="A48" s="71"/>
      <c r="B48" s="86"/>
      <c r="C48" s="29" t="s">
        <v>304</v>
      </c>
      <c r="D48" s="88">
        <v>5.0</v>
      </c>
      <c r="E48" s="87"/>
      <c r="F48" s="82">
        <v>8.0</v>
      </c>
      <c r="G48" s="87"/>
    </row>
    <row r="49">
      <c r="A49" s="71"/>
      <c r="B49" s="86"/>
      <c r="C49" s="29" t="s">
        <v>305</v>
      </c>
      <c r="D49" s="88">
        <v>3.0</v>
      </c>
      <c r="E49" s="87"/>
      <c r="F49" s="82">
        <v>3.0</v>
      </c>
      <c r="G49" s="87"/>
    </row>
    <row r="50">
      <c r="A50" s="71"/>
      <c r="B50" s="86"/>
      <c r="C50" s="29"/>
      <c r="D50" s="88"/>
      <c r="E50" s="87"/>
      <c r="F50" s="87"/>
      <c r="G50" s="87"/>
    </row>
    <row r="51">
      <c r="A51" s="71">
        <v>6.0</v>
      </c>
      <c r="B51" s="79" t="str">
        <f>B14</f>
        <v>Complete the end-to-end application by integrating frontend views with backend APIs, enabling knowledge graph extraction and providing visualisation options for extracted knowledge graphs.</v>
      </c>
      <c r="C51" s="29" t="s">
        <v>306</v>
      </c>
      <c r="D51" s="88">
        <v>5.0</v>
      </c>
      <c r="E51" s="87"/>
      <c r="F51" s="82">
        <v>3.0</v>
      </c>
      <c r="G51" s="87"/>
    </row>
    <row r="52">
      <c r="A52" s="71"/>
      <c r="B52" s="86"/>
      <c r="C52" s="29" t="s">
        <v>307</v>
      </c>
      <c r="D52" s="88">
        <v>5.0</v>
      </c>
      <c r="E52" s="87"/>
      <c r="F52" s="82">
        <v>3.0</v>
      </c>
      <c r="G52" s="87"/>
    </row>
    <row r="53">
      <c r="A53" s="71"/>
      <c r="B53" s="86"/>
      <c r="C53" s="29" t="s">
        <v>308</v>
      </c>
      <c r="D53" s="88">
        <v>3.0</v>
      </c>
      <c r="E53" s="87"/>
      <c r="F53" s="82">
        <v>5.0</v>
      </c>
      <c r="G53" s="87"/>
    </row>
    <row r="54">
      <c r="A54" s="71"/>
      <c r="B54" s="86"/>
      <c r="C54" s="29" t="s">
        <v>309</v>
      </c>
      <c r="D54" s="88">
        <v>3.0</v>
      </c>
      <c r="E54" s="87"/>
      <c r="F54" s="82">
        <v>5.0</v>
      </c>
      <c r="G54" s="87"/>
    </row>
    <row r="55">
      <c r="A55" s="71"/>
      <c r="B55" s="86"/>
      <c r="C55" s="29" t="s">
        <v>310</v>
      </c>
      <c r="D55" s="88">
        <v>8.0</v>
      </c>
      <c r="E55" s="87"/>
      <c r="F55" s="82">
        <v>5.0</v>
      </c>
      <c r="G55" s="87"/>
    </row>
    <row r="56">
      <c r="A56" s="71"/>
      <c r="B56" s="86"/>
      <c r="C56" s="29" t="s">
        <v>311</v>
      </c>
      <c r="D56" s="88">
        <v>8.0</v>
      </c>
      <c r="E56" s="87"/>
      <c r="F56" s="82">
        <v>5.0</v>
      </c>
      <c r="G56" s="87"/>
    </row>
    <row r="57">
      <c r="A57" s="71"/>
      <c r="B57" s="86"/>
      <c r="C57" s="29"/>
      <c r="D57" s="88"/>
      <c r="E57" s="87"/>
      <c r="F57" s="87"/>
      <c r="G57" s="87"/>
    </row>
    <row r="58">
      <c r="A58" s="71"/>
      <c r="B58" s="86"/>
      <c r="C58" s="34"/>
      <c r="D58" s="69"/>
      <c r="E58" s="87"/>
      <c r="F58" s="87"/>
      <c r="G58" s="87"/>
    </row>
    <row r="59">
      <c r="A59" s="66"/>
      <c r="B59" s="81"/>
      <c r="C59" s="90" t="s">
        <v>312</v>
      </c>
      <c r="D59" s="61"/>
      <c r="E59" s="31"/>
      <c r="F59" s="31"/>
      <c r="G59" s="31"/>
    </row>
    <row r="60">
      <c r="A60" s="85"/>
      <c r="B60" s="86"/>
      <c r="C60" s="34"/>
      <c r="D60" s="34"/>
      <c r="E60" s="34"/>
      <c r="F60" s="34"/>
      <c r="G60" s="3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1.13"/>
    <col customWidth="1" min="3" max="3" width="60.25"/>
    <col customWidth="1" min="4" max="7" width="15.75"/>
  </cols>
  <sheetData>
    <row r="1">
      <c r="A1" s="50" t="s">
        <v>264</v>
      </c>
      <c r="B1" s="51" t="s">
        <v>265</v>
      </c>
      <c r="C1" s="52" t="s">
        <v>266</v>
      </c>
      <c r="D1" s="53" t="s">
        <v>267</v>
      </c>
      <c r="E1" s="53" t="s">
        <v>268</v>
      </c>
      <c r="F1" s="53" t="s">
        <v>269</v>
      </c>
      <c r="G1" s="53" t="s">
        <v>270</v>
      </c>
    </row>
    <row r="2">
      <c r="A2" s="54"/>
      <c r="B2" s="34"/>
      <c r="C2" s="34"/>
      <c r="D2" s="34"/>
      <c r="E2" s="34"/>
      <c r="F2" s="34"/>
      <c r="G2" s="34"/>
    </row>
    <row r="3">
      <c r="A3" s="56" t="s">
        <v>271</v>
      </c>
      <c r="B3" s="58"/>
      <c r="C3" s="58"/>
      <c r="D3" s="58"/>
      <c r="E3" s="58"/>
      <c r="F3" s="58"/>
      <c r="G3" s="58"/>
    </row>
    <row r="4">
      <c r="A4" s="54"/>
      <c r="B4" s="34"/>
      <c r="C4" s="34"/>
      <c r="D4" s="34"/>
      <c r="E4" s="34"/>
      <c r="F4" s="34"/>
      <c r="G4" s="34"/>
    </row>
    <row r="5">
      <c r="A5" s="59" t="s">
        <v>272</v>
      </c>
      <c r="B5" s="31"/>
      <c r="C5" s="31"/>
      <c r="D5" s="61">
        <f>sum(D8:D16)</f>
        <v>31</v>
      </c>
      <c r="E5" s="61">
        <f>D5</f>
        <v>31</v>
      </c>
      <c r="F5" s="31"/>
      <c r="G5" s="31"/>
    </row>
    <row r="6">
      <c r="A6" s="54"/>
      <c r="B6" s="34"/>
      <c r="C6" s="34"/>
      <c r="D6" s="34"/>
      <c r="E6" s="34"/>
      <c r="F6" s="34"/>
      <c r="G6" s="34"/>
    </row>
    <row r="7">
      <c r="A7" s="62" t="s">
        <v>273</v>
      </c>
      <c r="B7" s="91"/>
      <c r="C7" s="64"/>
      <c r="D7" s="64"/>
      <c r="E7" s="64"/>
      <c r="F7" s="64"/>
      <c r="G7" s="64"/>
    </row>
    <row r="8">
      <c r="A8" s="54"/>
      <c r="B8" s="34"/>
      <c r="C8" s="34"/>
      <c r="D8" s="34"/>
      <c r="E8" s="65" t="s">
        <v>274</v>
      </c>
      <c r="F8" s="34"/>
      <c r="G8" s="65" t="s">
        <v>275</v>
      </c>
    </row>
    <row r="9">
      <c r="A9" s="72">
        <v>7.0</v>
      </c>
      <c r="B9" s="32" t="s">
        <v>259</v>
      </c>
      <c r="C9" s="31"/>
      <c r="D9" s="61">
        <f>sum(D19:D26)</f>
        <v>31</v>
      </c>
      <c r="E9" s="61">
        <f>$D$5</f>
        <v>31</v>
      </c>
      <c r="F9" s="61">
        <f>sum(F19:F26)</f>
        <v>0</v>
      </c>
      <c r="G9" s="61">
        <f>$D$5</f>
        <v>31</v>
      </c>
    </row>
    <row r="10">
      <c r="A10" s="54">
        <f t="shared" ref="A10:A15" si="1">A9+1</f>
        <v>8</v>
      </c>
      <c r="B10" s="29" t="s">
        <v>313</v>
      </c>
      <c r="C10" s="34"/>
      <c r="D10" s="69">
        <f>sum(D27:D36)</f>
        <v>0</v>
      </c>
      <c r="E10" s="69">
        <f t="shared" ref="E10:E15" si="2">E9-D9</f>
        <v>0</v>
      </c>
      <c r="F10" s="69">
        <f>sum(F27:F36)</f>
        <v>0</v>
      </c>
      <c r="G10" s="69">
        <f t="shared" ref="G10:G15" si="3">G9-F9</f>
        <v>31</v>
      </c>
    </row>
    <row r="11">
      <c r="A11" s="66">
        <f t="shared" si="1"/>
        <v>9</v>
      </c>
      <c r="B11" s="32" t="s">
        <v>314</v>
      </c>
      <c r="C11" s="31"/>
      <c r="D11" s="61">
        <f>sum(D37:D42)</f>
        <v>0</v>
      </c>
      <c r="E11" s="61">
        <f t="shared" si="2"/>
        <v>0</v>
      </c>
      <c r="F11" s="61">
        <f>sum(F37:F42)</f>
        <v>0</v>
      </c>
      <c r="G11" s="61">
        <f t="shared" si="3"/>
        <v>31</v>
      </c>
    </row>
    <row r="12">
      <c r="A12" s="71">
        <f t="shared" si="1"/>
        <v>10</v>
      </c>
      <c r="B12" s="29" t="s">
        <v>315</v>
      </c>
      <c r="C12" s="34"/>
      <c r="D12" s="29">
        <f>sum(D43:D49)</f>
        <v>0</v>
      </c>
      <c r="E12" s="69">
        <f t="shared" si="2"/>
        <v>0</v>
      </c>
      <c r="F12" s="29">
        <f>sum(F43:F49)</f>
        <v>0</v>
      </c>
      <c r="G12" s="69">
        <f t="shared" si="3"/>
        <v>31</v>
      </c>
    </row>
    <row r="13">
      <c r="A13" s="72">
        <f t="shared" si="1"/>
        <v>11</v>
      </c>
      <c r="B13" s="32" t="s">
        <v>316</v>
      </c>
      <c r="C13" s="31"/>
      <c r="D13" s="31">
        <f>SUM(D50:D56)</f>
        <v>0</v>
      </c>
      <c r="E13" s="31">
        <f t="shared" si="2"/>
        <v>0</v>
      </c>
      <c r="F13" s="31">
        <f>SUM(F50:F56)</f>
        <v>0</v>
      </c>
      <c r="G13" s="31">
        <f t="shared" si="3"/>
        <v>31</v>
      </c>
    </row>
    <row r="14">
      <c r="A14" s="71">
        <f t="shared" si="1"/>
        <v>12</v>
      </c>
      <c r="B14" s="29" t="s">
        <v>317</v>
      </c>
      <c r="C14" s="34"/>
      <c r="D14" s="34">
        <f>SUM(D57:D62)</f>
        <v>0</v>
      </c>
      <c r="E14" s="34">
        <f t="shared" si="2"/>
        <v>0</v>
      </c>
      <c r="F14" s="34">
        <f>SUM(F57:F62)</f>
        <v>0</v>
      </c>
      <c r="G14" s="34">
        <f t="shared" si="3"/>
        <v>31</v>
      </c>
    </row>
    <row r="15">
      <c r="A15" s="72">
        <f t="shared" si="1"/>
        <v>13</v>
      </c>
      <c r="B15" s="32"/>
      <c r="C15" s="31"/>
      <c r="D15" s="31">
        <f>SUM(D63:D69)</f>
        <v>0</v>
      </c>
      <c r="E15" s="31">
        <f t="shared" si="2"/>
        <v>0</v>
      </c>
      <c r="F15" s="31">
        <f>SUM(F63:F69)</f>
        <v>0</v>
      </c>
      <c r="G15" s="31">
        <f t="shared" si="3"/>
        <v>31</v>
      </c>
    </row>
    <row r="16">
      <c r="A16" s="85"/>
      <c r="B16" s="34"/>
      <c r="C16" s="34"/>
      <c r="D16" s="34"/>
      <c r="E16" s="34"/>
      <c r="F16" s="34"/>
      <c r="G16" s="34"/>
    </row>
    <row r="17">
      <c r="A17" s="74" t="s">
        <v>281</v>
      </c>
      <c r="B17" s="92"/>
      <c r="C17" s="76"/>
      <c r="D17" s="76"/>
      <c r="E17" s="76"/>
      <c r="F17" s="76"/>
      <c r="G17" s="76"/>
    </row>
    <row r="18">
      <c r="A18" s="66"/>
      <c r="B18" s="31"/>
      <c r="C18" s="31"/>
      <c r="D18" s="31"/>
      <c r="E18" s="31"/>
      <c r="F18" s="31"/>
      <c r="G18" s="31"/>
    </row>
    <row r="19">
      <c r="A19" s="78">
        <f t="shared" ref="A19:B19" si="4">A9</f>
        <v>7</v>
      </c>
      <c r="B19" s="33" t="str">
        <f t="shared" si="4"/>
        <v>Improve knowledge graph quality, introduce AI chat capabilities, and enhance the user experience with document handling and usability improvements.</v>
      </c>
      <c r="C19" s="29" t="s">
        <v>318</v>
      </c>
      <c r="D19" s="29">
        <v>3.0</v>
      </c>
      <c r="E19" s="29"/>
      <c r="F19" s="29"/>
      <c r="G19" s="34"/>
    </row>
    <row r="20">
      <c r="A20" s="66"/>
      <c r="B20" s="93"/>
      <c r="C20" s="32" t="s">
        <v>319</v>
      </c>
      <c r="D20" s="32">
        <v>5.0</v>
      </c>
      <c r="E20" s="31"/>
      <c r="F20" s="32"/>
      <c r="G20" s="31"/>
    </row>
    <row r="21">
      <c r="A21" s="85"/>
      <c r="B21" s="94"/>
      <c r="C21" s="29" t="s">
        <v>320</v>
      </c>
      <c r="D21" s="29">
        <v>5.0</v>
      </c>
      <c r="E21" s="34"/>
      <c r="F21" s="29"/>
      <c r="G21" s="34"/>
    </row>
    <row r="22">
      <c r="A22" s="66"/>
      <c r="B22" s="95"/>
      <c r="C22" s="32" t="s">
        <v>239</v>
      </c>
      <c r="D22" s="48">
        <v>5.0</v>
      </c>
      <c r="E22" s="31"/>
      <c r="F22" s="32"/>
      <c r="G22" s="31"/>
    </row>
    <row r="23">
      <c r="A23" s="85"/>
      <c r="B23" s="36"/>
      <c r="C23" s="82" t="s">
        <v>321</v>
      </c>
      <c r="D23" s="88">
        <v>3.0</v>
      </c>
      <c r="E23" s="87"/>
      <c r="F23" s="29"/>
      <c r="G23" s="87"/>
    </row>
    <row r="24">
      <c r="A24" s="66"/>
      <c r="B24" s="95"/>
      <c r="C24" s="32" t="s">
        <v>322</v>
      </c>
      <c r="D24" s="48">
        <v>3.0</v>
      </c>
      <c r="E24" s="31"/>
      <c r="F24" s="32"/>
      <c r="G24" s="31"/>
    </row>
    <row r="25">
      <c r="A25" s="85"/>
      <c r="B25" s="36"/>
      <c r="C25" s="29" t="s">
        <v>323</v>
      </c>
      <c r="D25" s="88">
        <v>2.0</v>
      </c>
      <c r="E25" s="34"/>
      <c r="F25" s="29"/>
      <c r="G25" s="34"/>
    </row>
    <row r="26">
      <c r="A26" s="66"/>
      <c r="B26" s="95"/>
      <c r="C26" s="32" t="s">
        <v>324</v>
      </c>
      <c r="D26" s="48">
        <v>5.0</v>
      </c>
      <c r="E26" s="31"/>
      <c r="F26" s="32"/>
      <c r="G26" s="31"/>
    </row>
    <row r="27">
      <c r="A27" s="78">
        <f t="shared" ref="A27:B27" si="5">A10</f>
        <v>8</v>
      </c>
      <c r="B27" s="36" t="str">
        <f t="shared" si="5"/>
        <v>Create a unified user knowledge graph and connect it to the chat system, enabling context-aware conversations and persistent chat management.</v>
      </c>
      <c r="C27" s="29" t="s">
        <v>325</v>
      </c>
      <c r="D27" s="29"/>
      <c r="E27" s="34"/>
      <c r="F27" s="29"/>
      <c r="G27" s="34"/>
    </row>
    <row r="28">
      <c r="A28" s="66"/>
      <c r="B28" s="93"/>
      <c r="C28" s="96" t="s">
        <v>326</v>
      </c>
      <c r="D28" s="32"/>
      <c r="E28" s="31"/>
      <c r="F28" s="32"/>
      <c r="G28" s="31"/>
    </row>
    <row r="29">
      <c r="A29" s="85"/>
      <c r="B29" s="36"/>
      <c r="C29" s="40" t="s">
        <v>327</v>
      </c>
      <c r="D29" s="29"/>
      <c r="E29" s="87"/>
      <c r="F29" s="29"/>
      <c r="G29" s="87"/>
    </row>
    <row r="30">
      <c r="A30" s="66"/>
      <c r="B30" s="95"/>
      <c r="C30" s="32" t="s">
        <v>328</v>
      </c>
      <c r="D30" s="48"/>
      <c r="E30" s="31"/>
      <c r="F30" s="32"/>
      <c r="G30" s="31"/>
    </row>
    <row r="31">
      <c r="A31" s="85"/>
      <c r="B31" s="36"/>
      <c r="C31" s="82" t="s">
        <v>329</v>
      </c>
      <c r="D31" s="88"/>
      <c r="E31" s="87"/>
      <c r="F31" s="29"/>
      <c r="G31" s="87"/>
    </row>
    <row r="32">
      <c r="A32" s="85"/>
      <c r="B32" s="36"/>
      <c r="C32" s="82" t="s">
        <v>330</v>
      </c>
      <c r="D32" s="88"/>
      <c r="E32" s="87"/>
      <c r="F32" s="29"/>
      <c r="G32" s="87"/>
    </row>
    <row r="33">
      <c r="A33" s="66"/>
      <c r="B33" s="95"/>
      <c r="C33" s="32" t="s">
        <v>331</v>
      </c>
      <c r="D33" s="48"/>
      <c r="E33" s="31"/>
      <c r="F33" s="32"/>
      <c r="G33" s="31"/>
    </row>
    <row r="34">
      <c r="A34" s="85"/>
      <c r="B34" s="36"/>
      <c r="C34" s="29" t="s">
        <v>332</v>
      </c>
      <c r="D34" s="88"/>
      <c r="E34" s="34"/>
      <c r="F34" s="29"/>
      <c r="G34" s="34"/>
    </row>
    <row r="35">
      <c r="A35" s="66"/>
      <c r="B35" s="95"/>
      <c r="C35" s="32" t="s">
        <v>333</v>
      </c>
      <c r="D35" s="48"/>
      <c r="E35" s="31"/>
      <c r="F35" s="32"/>
      <c r="G35" s="31"/>
    </row>
    <row r="36">
      <c r="A36" s="66"/>
      <c r="B36" s="95"/>
      <c r="C36" s="32"/>
      <c r="D36" s="48"/>
      <c r="E36" s="31"/>
      <c r="F36" s="32"/>
      <c r="G36" s="31"/>
    </row>
    <row r="37">
      <c r="A37" s="78">
        <f t="shared" ref="A37:B37" si="6">A11</f>
        <v>9</v>
      </c>
      <c r="B37" s="36" t="str">
        <f t="shared" si="6"/>
        <v>Introduce voice call chat mode and finalise knowledge graph pipeline.</v>
      </c>
      <c r="C37" s="40" t="s">
        <v>334</v>
      </c>
      <c r="D37" s="34"/>
      <c r="E37" s="34"/>
      <c r="F37" s="34"/>
      <c r="G37" s="34"/>
    </row>
    <row r="38">
      <c r="A38" s="66"/>
      <c r="B38" s="93"/>
      <c r="C38" s="96" t="s">
        <v>335</v>
      </c>
      <c r="D38" s="31"/>
      <c r="E38" s="31"/>
      <c r="F38" s="31"/>
      <c r="G38" s="31"/>
    </row>
    <row r="39">
      <c r="A39" s="97"/>
      <c r="B39" s="36"/>
      <c r="C39" s="82" t="s">
        <v>336</v>
      </c>
      <c r="D39" s="69"/>
      <c r="E39" s="87"/>
      <c r="F39" s="87"/>
      <c r="G39" s="87"/>
    </row>
    <row r="40">
      <c r="A40" s="98"/>
      <c r="B40" s="95"/>
      <c r="C40" s="32" t="s">
        <v>337</v>
      </c>
      <c r="D40" s="61"/>
      <c r="E40" s="31"/>
      <c r="F40" s="31"/>
      <c r="G40" s="31"/>
    </row>
    <row r="41">
      <c r="A41" s="97"/>
      <c r="B41" s="36"/>
      <c r="C41" s="29" t="s">
        <v>338</v>
      </c>
      <c r="D41" s="69"/>
      <c r="E41" s="87"/>
      <c r="F41" s="87"/>
      <c r="G41" s="87"/>
    </row>
    <row r="42">
      <c r="A42" s="98"/>
      <c r="B42" s="95"/>
      <c r="C42" s="99"/>
      <c r="D42" s="61"/>
      <c r="E42" s="31"/>
      <c r="F42" s="31"/>
      <c r="G42" s="31"/>
    </row>
    <row r="43">
      <c r="A43" s="100">
        <f t="shared" ref="A43:B43" si="7">A12</f>
        <v>10</v>
      </c>
      <c r="B43" s="36" t="str">
        <f t="shared" si="7"/>
        <v>Integrate external knowledge sources such as research papers as AI chat contexts and visualise clickable sources in AI answers.</v>
      </c>
      <c r="C43" s="29" t="s">
        <v>339</v>
      </c>
      <c r="D43" s="34"/>
      <c r="E43" s="34"/>
      <c r="F43" s="34"/>
      <c r="G43" s="34"/>
    </row>
    <row r="44">
      <c r="A44" s="98"/>
      <c r="B44" s="95"/>
      <c r="C44" s="32" t="s">
        <v>340</v>
      </c>
      <c r="D44" s="31"/>
      <c r="E44" s="31"/>
      <c r="F44" s="31"/>
      <c r="G44" s="31"/>
    </row>
    <row r="45">
      <c r="A45" s="97"/>
      <c r="B45" s="36"/>
      <c r="C45" s="29" t="s">
        <v>341</v>
      </c>
      <c r="D45" s="34"/>
      <c r="E45" s="34"/>
      <c r="F45" s="34"/>
      <c r="G45" s="34"/>
    </row>
    <row r="46">
      <c r="A46" s="98"/>
      <c r="B46" s="95"/>
      <c r="C46" s="32" t="s">
        <v>342</v>
      </c>
      <c r="D46" s="31"/>
      <c r="E46" s="31"/>
      <c r="F46" s="31"/>
      <c r="G46" s="31"/>
    </row>
    <row r="47">
      <c r="A47" s="97"/>
      <c r="B47" s="36"/>
      <c r="C47" s="29" t="s">
        <v>343</v>
      </c>
      <c r="D47" s="34"/>
      <c r="E47" s="34"/>
      <c r="F47" s="34"/>
      <c r="G47" s="34"/>
    </row>
    <row r="48">
      <c r="A48" s="98"/>
      <c r="B48" s="95"/>
      <c r="C48" s="32" t="s">
        <v>344</v>
      </c>
      <c r="D48" s="31"/>
      <c r="E48" s="31"/>
      <c r="F48" s="31"/>
      <c r="G48" s="31"/>
    </row>
    <row r="49">
      <c r="A49" s="98"/>
      <c r="B49" s="95"/>
      <c r="C49" s="32"/>
      <c r="D49" s="31"/>
      <c r="E49" s="31"/>
      <c r="F49" s="31"/>
      <c r="G49" s="31"/>
    </row>
    <row r="50">
      <c r="A50" s="100">
        <f t="shared" ref="A50:B50" si="8">A13</f>
        <v>11</v>
      </c>
      <c r="B50" s="36" t="str">
        <f t="shared" si="8"/>
        <v>Implement normal RAG chat as comparison to knowledge graph contexts in AI chats.</v>
      </c>
      <c r="C50" s="29" t="s">
        <v>345</v>
      </c>
      <c r="D50" s="34"/>
      <c r="E50" s="34"/>
      <c r="F50" s="34"/>
      <c r="G50" s="34"/>
    </row>
    <row r="51">
      <c r="A51" s="98"/>
      <c r="B51" s="95"/>
      <c r="C51" s="32" t="s">
        <v>346</v>
      </c>
      <c r="D51" s="31"/>
      <c r="E51" s="31"/>
      <c r="F51" s="31"/>
      <c r="G51" s="31"/>
    </row>
    <row r="52">
      <c r="A52" s="97"/>
      <c r="B52" s="36"/>
      <c r="C52" s="29" t="s">
        <v>347</v>
      </c>
      <c r="D52" s="34"/>
      <c r="E52" s="34"/>
      <c r="F52" s="34"/>
      <c r="G52" s="34"/>
    </row>
    <row r="53">
      <c r="A53" s="98"/>
      <c r="B53" s="95"/>
      <c r="C53" s="32" t="s">
        <v>348</v>
      </c>
      <c r="D53" s="31"/>
      <c r="E53" s="31"/>
      <c r="F53" s="31"/>
      <c r="G53" s="31"/>
    </row>
    <row r="54">
      <c r="A54" s="98"/>
      <c r="B54" s="95"/>
      <c r="C54" s="32"/>
      <c r="D54" s="31"/>
      <c r="E54" s="31"/>
      <c r="F54" s="31"/>
      <c r="G54" s="31"/>
    </row>
    <row r="55">
      <c r="A55" s="97"/>
      <c r="B55" s="36"/>
      <c r="C55" s="34"/>
      <c r="D55" s="34"/>
      <c r="E55" s="34"/>
      <c r="F55" s="34"/>
      <c r="G55" s="34"/>
    </row>
    <row r="56">
      <c r="A56" s="98"/>
      <c r="B56" s="95"/>
      <c r="C56" s="31"/>
      <c r="D56" s="31"/>
      <c r="E56" s="31"/>
      <c r="F56" s="31"/>
      <c r="G56" s="31"/>
    </row>
    <row r="57">
      <c r="A57" s="100">
        <f t="shared" ref="A57:B57" si="9">A14</f>
        <v>12</v>
      </c>
      <c r="B57" s="36" t="str">
        <f t="shared" si="9"/>
        <v>Finalise features, documentation, bug fixes and polishing of UX.</v>
      </c>
      <c r="C57" s="29" t="s">
        <v>349</v>
      </c>
      <c r="D57" s="34"/>
      <c r="E57" s="34"/>
      <c r="F57" s="34"/>
      <c r="G57" s="34"/>
    </row>
    <row r="58">
      <c r="A58" s="98"/>
      <c r="B58" s="95"/>
      <c r="C58" s="32" t="s">
        <v>350</v>
      </c>
      <c r="D58" s="31"/>
      <c r="E58" s="31"/>
      <c r="F58" s="31"/>
      <c r="G58" s="31"/>
    </row>
    <row r="59">
      <c r="A59" s="97"/>
      <c r="B59" s="36"/>
      <c r="C59" s="34"/>
      <c r="D59" s="34"/>
      <c r="E59" s="34"/>
      <c r="F59" s="34"/>
      <c r="G59" s="34"/>
    </row>
    <row r="60">
      <c r="A60" s="98"/>
      <c r="B60" s="95"/>
      <c r="C60" s="31"/>
      <c r="D60" s="31"/>
      <c r="E60" s="31"/>
      <c r="F60" s="31"/>
      <c r="G60" s="31"/>
    </row>
    <row r="61">
      <c r="A61" s="97"/>
      <c r="B61" s="36"/>
      <c r="C61" s="34"/>
      <c r="D61" s="34"/>
      <c r="E61" s="34"/>
      <c r="F61" s="34"/>
      <c r="G61" s="34"/>
    </row>
    <row r="62">
      <c r="A62" s="98"/>
      <c r="B62" s="95"/>
      <c r="C62" s="31"/>
      <c r="D62" s="31"/>
      <c r="E62" s="31"/>
      <c r="F62" s="31"/>
      <c r="G62" s="31"/>
    </row>
    <row r="63">
      <c r="A63" s="100">
        <f t="shared" ref="A63:B63" si="10">A15</f>
        <v>13</v>
      </c>
      <c r="B63" s="36" t="str">
        <f t="shared" si="10"/>
        <v/>
      </c>
      <c r="C63" s="34"/>
      <c r="D63" s="34"/>
      <c r="E63" s="34"/>
      <c r="F63" s="34"/>
      <c r="G63" s="34"/>
    </row>
    <row r="64">
      <c r="A64" s="98"/>
      <c r="B64" s="95"/>
      <c r="C64" s="31"/>
      <c r="D64" s="31"/>
      <c r="E64" s="31"/>
      <c r="F64" s="31"/>
      <c r="G64" s="31"/>
    </row>
    <row r="65">
      <c r="A65" s="97"/>
      <c r="B65" s="36"/>
      <c r="C65" s="34"/>
      <c r="D65" s="34"/>
      <c r="E65" s="34"/>
      <c r="F65" s="34"/>
      <c r="G65" s="34"/>
    </row>
    <row r="66">
      <c r="A66" s="98"/>
      <c r="B66" s="95"/>
      <c r="C66" s="31"/>
      <c r="D66" s="31"/>
      <c r="E66" s="31"/>
      <c r="F66" s="31"/>
      <c r="G66" s="31"/>
    </row>
    <row r="67">
      <c r="A67" s="97"/>
      <c r="B67" s="36"/>
      <c r="C67" s="34"/>
      <c r="D67" s="34"/>
      <c r="E67" s="34"/>
      <c r="F67" s="34"/>
      <c r="G67" s="34"/>
    </row>
    <row r="68">
      <c r="A68" s="98"/>
      <c r="B68" s="95"/>
      <c r="C68" s="31"/>
      <c r="D68" s="31"/>
      <c r="E68" s="31"/>
      <c r="F68" s="31"/>
      <c r="G68" s="31"/>
    </row>
    <row r="69">
      <c r="A69" s="98"/>
      <c r="B69" s="95"/>
      <c r="C69" s="31"/>
      <c r="D69" s="31"/>
      <c r="E69" s="31"/>
      <c r="F69" s="31"/>
      <c r="G69" s="31"/>
    </row>
    <row r="70">
      <c r="A70" s="97"/>
      <c r="B70" s="36"/>
      <c r="C70" s="101" t="s">
        <v>312</v>
      </c>
      <c r="D70" s="34"/>
      <c r="E70" s="34"/>
      <c r="F70" s="34"/>
      <c r="G70" s="3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02" t="s">
        <v>68</v>
      </c>
      <c r="B1" s="103" t="s">
        <v>351</v>
      </c>
      <c r="C1" s="103" t="s">
        <v>352</v>
      </c>
      <c r="D1" s="104" t="s">
        <v>353</v>
      </c>
    </row>
    <row r="2">
      <c r="A2" s="3"/>
      <c r="B2" s="2" t="s">
        <v>354</v>
      </c>
      <c r="C2" s="2" t="s">
        <v>355</v>
      </c>
      <c r="D2" s="2" t="s">
        <v>356</v>
      </c>
    </row>
    <row r="3">
      <c r="A3" s="3"/>
      <c r="B3" s="2" t="s">
        <v>357</v>
      </c>
      <c r="C3" s="2" t="s">
        <v>358</v>
      </c>
      <c r="D3" s="2" t="s">
        <v>359</v>
      </c>
    </row>
    <row r="4">
      <c r="A4" s="3"/>
      <c r="B4" s="2" t="s">
        <v>360</v>
      </c>
      <c r="C4" s="2"/>
      <c r="D4" s="2" t="s">
        <v>361</v>
      </c>
    </row>
    <row r="5">
      <c r="A5" s="3"/>
      <c r="B5" s="2" t="s">
        <v>362</v>
      </c>
      <c r="C5" s="3"/>
      <c r="D5" s="3"/>
    </row>
    <row r="6">
      <c r="A6" s="3"/>
      <c r="B6" s="2"/>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363</v>
      </c>
      <c r="B1" s="4" t="s">
        <v>364</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10.5"/>
    <col customWidth="1" min="5" max="5" width="21.63"/>
    <col customWidth="1" min="6" max="6" width="37.63"/>
  </cols>
  <sheetData>
    <row r="1">
      <c r="A1" s="105" t="s">
        <v>68</v>
      </c>
      <c r="B1" s="106" t="s">
        <v>365</v>
      </c>
      <c r="C1" s="106" t="s">
        <v>366</v>
      </c>
      <c r="D1" s="106" t="s">
        <v>367</v>
      </c>
      <c r="E1" s="106" t="s">
        <v>368</v>
      </c>
      <c r="F1" s="106" t="s">
        <v>75</v>
      </c>
    </row>
    <row r="2">
      <c r="B2" s="10" t="s">
        <v>369</v>
      </c>
      <c r="C2" s="10" t="s">
        <v>370</v>
      </c>
      <c r="D2" s="10" t="s">
        <v>371</v>
      </c>
      <c r="E2" s="10" t="s">
        <v>372</v>
      </c>
      <c r="F2" s="10" t="s">
        <v>373</v>
      </c>
    </row>
    <row r="3">
      <c r="B3" s="10" t="s">
        <v>369</v>
      </c>
      <c r="C3" s="10" t="s">
        <v>374</v>
      </c>
      <c r="D3" s="10" t="s">
        <v>375</v>
      </c>
      <c r="E3" s="10" t="s">
        <v>372</v>
      </c>
    </row>
    <row r="4">
      <c r="B4" s="10" t="s">
        <v>369</v>
      </c>
      <c r="C4" s="10" t="s">
        <v>376</v>
      </c>
      <c r="D4" s="10" t="s">
        <v>377</v>
      </c>
      <c r="E4" s="10" t="s">
        <v>372</v>
      </c>
    </row>
    <row r="5">
      <c r="B5" s="10" t="s">
        <v>369</v>
      </c>
      <c r="C5" s="10" t="s">
        <v>378</v>
      </c>
      <c r="D5" s="10" t="s">
        <v>379</v>
      </c>
      <c r="E5" s="10" t="s">
        <v>372</v>
      </c>
    </row>
    <row r="6">
      <c r="B6" s="10" t="s">
        <v>369</v>
      </c>
      <c r="C6" s="10" t="s">
        <v>380</v>
      </c>
      <c r="D6" s="10" t="s">
        <v>379</v>
      </c>
      <c r="E6" s="10" t="s">
        <v>372</v>
      </c>
    </row>
    <row r="7">
      <c r="B7" s="10" t="s">
        <v>369</v>
      </c>
      <c r="C7" s="10" t="s">
        <v>381</v>
      </c>
      <c r="D7" s="10" t="s">
        <v>382</v>
      </c>
      <c r="E7" s="10" t="s">
        <v>372</v>
      </c>
    </row>
    <row r="8">
      <c r="B8" s="10" t="s">
        <v>369</v>
      </c>
      <c r="C8" s="10" t="s">
        <v>383</v>
      </c>
      <c r="D8" s="10" t="s">
        <v>384</v>
      </c>
      <c r="E8" s="10" t="s">
        <v>372</v>
      </c>
    </row>
    <row r="9">
      <c r="B9" s="10" t="s">
        <v>369</v>
      </c>
      <c r="C9" s="10" t="s">
        <v>385</v>
      </c>
      <c r="D9" s="10" t="s">
        <v>382</v>
      </c>
      <c r="E9" s="10" t="s">
        <v>372</v>
      </c>
    </row>
    <row r="10">
      <c r="B10" s="10" t="s">
        <v>369</v>
      </c>
      <c r="C10" s="10" t="s">
        <v>386</v>
      </c>
      <c r="D10" s="10" t="s">
        <v>387</v>
      </c>
      <c r="E10" s="10" t="s">
        <v>372</v>
      </c>
    </row>
    <row r="11">
      <c r="B11" s="10" t="s">
        <v>369</v>
      </c>
      <c r="C11" s="10" t="s">
        <v>388</v>
      </c>
      <c r="D11" s="10" t="s">
        <v>389</v>
      </c>
      <c r="E11" s="10" t="s">
        <v>372</v>
      </c>
    </row>
    <row r="12">
      <c r="B12" s="10" t="s">
        <v>369</v>
      </c>
      <c r="C12" s="10" t="s">
        <v>390</v>
      </c>
      <c r="D12" s="10" t="s">
        <v>391</v>
      </c>
      <c r="E12" s="10" t="s">
        <v>372</v>
      </c>
    </row>
    <row r="13">
      <c r="B13" s="10" t="s">
        <v>369</v>
      </c>
      <c r="C13" s="10" t="s">
        <v>392</v>
      </c>
      <c r="D13" s="10" t="s">
        <v>393</v>
      </c>
      <c r="E13" s="10" t="s">
        <v>372</v>
      </c>
    </row>
    <row r="14">
      <c r="B14" s="10" t="s">
        <v>369</v>
      </c>
      <c r="C14" s="10" t="s">
        <v>394</v>
      </c>
      <c r="D14" s="10" t="s">
        <v>395</v>
      </c>
      <c r="E14" s="10" t="s">
        <v>372</v>
      </c>
    </row>
    <row r="15">
      <c r="B15" s="10" t="s">
        <v>369</v>
      </c>
      <c r="C15" s="10" t="s">
        <v>396</v>
      </c>
      <c r="D15" s="10" t="s">
        <v>387</v>
      </c>
      <c r="E15" s="10" t="s">
        <v>372</v>
      </c>
    </row>
    <row r="16">
      <c r="B16" s="10" t="s">
        <v>369</v>
      </c>
      <c r="C16" s="10" t="s">
        <v>397</v>
      </c>
      <c r="D16" s="10" t="s">
        <v>398</v>
      </c>
      <c r="E16" s="10" t="s">
        <v>372</v>
      </c>
    </row>
    <row r="17">
      <c r="B17" s="10" t="s">
        <v>369</v>
      </c>
      <c r="C17" s="10" t="s">
        <v>399</v>
      </c>
      <c r="D17" s="10" t="s">
        <v>400</v>
      </c>
      <c r="E17" s="10" t="s">
        <v>372</v>
      </c>
    </row>
    <row r="18">
      <c r="B18" s="10" t="s">
        <v>369</v>
      </c>
      <c r="C18" s="10" t="s">
        <v>401</v>
      </c>
      <c r="D18" s="10" t="s">
        <v>402</v>
      </c>
      <c r="E18" s="10" t="s">
        <v>372</v>
      </c>
    </row>
    <row r="19">
      <c r="B19" s="10" t="s">
        <v>369</v>
      </c>
      <c r="C19" s="10" t="s">
        <v>403</v>
      </c>
      <c r="D19" s="10" t="s">
        <v>404</v>
      </c>
      <c r="E19" s="10" t="s">
        <v>372</v>
      </c>
    </row>
    <row r="20">
      <c r="B20" s="10" t="s">
        <v>369</v>
      </c>
      <c r="C20" s="10" t="s">
        <v>405</v>
      </c>
      <c r="D20" s="10" t="s">
        <v>382</v>
      </c>
      <c r="E20" s="10" t="s">
        <v>372</v>
      </c>
    </row>
    <row r="21">
      <c r="B21" s="10" t="s">
        <v>369</v>
      </c>
      <c r="C21" s="10" t="s">
        <v>406</v>
      </c>
      <c r="D21" s="10" t="s">
        <v>384</v>
      </c>
      <c r="E21" s="10" t="s">
        <v>372</v>
      </c>
    </row>
    <row r="22">
      <c r="B22" s="10" t="s">
        <v>369</v>
      </c>
      <c r="C22" s="10" t="s">
        <v>407</v>
      </c>
      <c r="D22" s="10" t="s">
        <v>408</v>
      </c>
      <c r="E22" s="10" t="s">
        <v>372</v>
      </c>
    </row>
    <row r="23">
      <c r="B23" s="10" t="s">
        <v>369</v>
      </c>
      <c r="C23" s="10" t="s">
        <v>409</v>
      </c>
      <c r="D23" s="10" t="s">
        <v>408</v>
      </c>
      <c r="E23" s="10" t="s">
        <v>372</v>
      </c>
    </row>
    <row r="24">
      <c r="B24" s="10" t="s">
        <v>369</v>
      </c>
      <c r="C24" s="10" t="s">
        <v>410</v>
      </c>
      <c r="D24" s="10" t="s">
        <v>411</v>
      </c>
      <c r="E24" s="10" t="s">
        <v>372</v>
      </c>
    </row>
    <row r="25">
      <c r="B25" s="10" t="s">
        <v>369</v>
      </c>
      <c r="C25" s="10" t="s">
        <v>412</v>
      </c>
      <c r="D25" s="10" t="s">
        <v>413</v>
      </c>
      <c r="E25" s="10" t="s">
        <v>372</v>
      </c>
    </row>
    <row r="26">
      <c r="B26" s="10" t="s">
        <v>369</v>
      </c>
      <c r="C26" s="10" t="s">
        <v>414</v>
      </c>
      <c r="D26" s="10" t="s">
        <v>415</v>
      </c>
      <c r="E26" s="10" t="s">
        <v>372</v>
      </c>
    </row>
    <row r="27">
      <c r="B27" s="10" t="s">
        <v>369</v>
      </c>
      <c r="C27" s="10" t="s">
        <v>416</v>
      </c>
      <c r="D27" s="10" t="s">
        <v>417</v>
      </c>
      <c r="E27" s="10" t="s">
        <v>372</v>
      </c>
    </row>
    <row r="28">
      <c r="B28" s="10" t="s">
        <v>369</v>
      </c>
      <c r="C28" s="10" t="s">
        <v>418</v>
      </c>
      <c r="D28" s="10" t="s">
        <v>419</v>
      </c>
      <c r="E28" s="10" t="s">
        <v>372</v>
      </c>
    </row>
    <row r="29">
      <c r="B29" s="10" t="s">
        <v>369</v>
      </c>
      <c r="C29" s="10" t="s">
        <v>420</v>
      </c>
      <c r="D29" s="10" t="s">
        <v>421</v>
      </c>
      <c r="E29" s="10" t="s">
        <v>372</v>
      </c>
    </row>
    <row r="30">
      <c r="B30" s="10" t="s">
        <v>369</v>
      </c>
      <c r="C30" s="10" t="s">
        <v>422</v>
      </c>
      <c r="D30" s="10" t="s">
        <v>423</v>
      </c>
      <c r="E30" s="10" t="s">
        <v>372</v>
      </c>
    </row>
    <row r="31">
      <c r="B31" s="10" t="s">
        <v>369</v>
      </c>
      <c r="C31" s="10" t="s">
        <v>424</v>
      </c>
      <c r="D31" s="10" t="s">
        <v>425</v>
      </c>
      <c r="E31" s="10" t="s">
        <v>372</v>
      </c>
    </row>
    <row r="32">
      <c r="B32" s="10" t="s">
        <v>369</v>
      </c>
      <c r="C32" s="10" t="s">
        <v>426</v>
      </c>
      <c r="D32" s="10" t="s">
        <v>427</v>
      </c>
      <c r="E32" s="10" t="s">
        <v>372</v>
      </c>
    </row>
    <row r="33">
      <c r="B33" s="10" t="s">
        <v>369</v>
      </c>
      <c r="C33" s="10" t="s">
        <v>428</v>
      </c>
      <c r="D33" s="10" t="s">
        <v>379</v>
      </c>
      <c r="E33" s="10" t="s">
        <v>372</v>
      </c>
    </row>
    <row r="34">
      <c r="B34" s="10" t="s">
        <v>369</v>
      </c>
      <c r="C34" s="10" t="s">
        <v>429</v>
      </c>
      <c r="D34" s="10" t="s">
        <v>430</v>
      </c>
      <c r="E34" s="10" t="s">
        <v>372</v>
      </c>
    </row>
    <row r="35">
      <c r="B35" s="10" t="s">
        <v>369</v>
      </c>
      <c r="C35" s="10" t="s">
        <v>431</v>
      </c>
      <c r="D35" s="10" t="s">
        <v>432</v>
      </c>
      <c r="E35" s="10" t="s">
        <v>372</v>
      </c>
    </row>
    <row r="36">
      <c r="B36" s="10" t="s">
        <v>369</v>
      </c>
      <c r="C36" s="10" t="s">
        <v>433</v>
      </c>
      <c r="D36" s="10" t="s">
        <v>434</v>
      </c>
      <c r="E36" s="10" t="s">
        <v>372</v>
      </c>
    </row>
    <row r="37">
      <c r="B37" s="10" t="s">
        <v>369</v>
      </c>
      <c r="C37" s="10" t="s">
        <v>435</v>
      </c>
      <c r="D37" s="10" t="s">
        <v>436</v>
      </c>
      <c r="E37" s="10" t="s">
        <v>372</v>
      </c>
    </row>
    <row r="38">
      <c r="B38" s="10" t="s">
        <v>369</v>
      </c>
      <c r="C38" s="10" t="s">
        <v>437</v>
      </c>
      <c r="D38" s="10" t="s">
        <v>438</v>
      </c>
      <c r="E38" s="10" t="s">
        <v>372</v>
      </c>
    </row>
    <row r="39">
      <c r="B39" s="10" t="s">
        <v>369</v>
      </c>
      <c r="C39" s="10" t="s">
        <v>439</v>
      </c>
      <c r="D39" s="10" t="s">
        <v>440</v>
      </c>
      <c r="E39" s="10" t="s">
        <v>372</v>
      </c>
    </row>
    <row r="40">
      <c r="B40" s="10" t="s">
        <v>369</v>
      </c>
      <c r="C40" s="10" t="s">
        <v>441</v>
      </c>
      <c r="D40" s="10" t="s">
        <v>442</v>
      </c>
      <c r="E40" s="10" t="s">
        <v>372</v>
      </c>
    </row>
    <row r="41">
      <c r="B41" s="10" t="s">
        <v>369</v>
      </c>
      <c r="C41" s="10" t="s">
        <v>443</v>
      </c>
      <c r="D41" s="10" t="s">
        <v>444</v>
      </c>
      <c r="E41" s="10" t="s">
        <v>445</v>
      </c>
    </row>
    <row r="42">
      <c r="B42" s="10" t="s">
        <v>369</v>
      </c>
      <c r="C42" s="10" t="s">
        <v>446</v>
      </c>
      <c r="D42" s="10" t="s">
        <v>447</v>
      </c>
      <c r="E42" s="10" t="s">
        <v>372</v>
      </c>
    </row>
    <row r="43">
      <c r="B43" s="10" t="s">
        <v>369</v>
      </c>
      <c r="C43" s="10" t="s">
        <v>448</v>
      </c>
      <c r="D43" s="10" t="s">
        <v>449</v>
      </c>
      <c r="E43" s="10" t="s">
        <v>372</v>
      </c>
    </row>
    <row r="44">
      <c r="B44" s="10" t="s">
        <v>369</v>
      </c>
      <c r="C44" s="10" t="s">
        <v>450</v>
      </c>
      <c r="D44" s="10" t="s">
        <v>384</v>
      </c>
      <c r="E44" s="10" t="s">
        <v>372</v>
      </c>
    </row>
    <row r="45">
      <c r="B45" s="10" t="s">
        <v>369</v>
      </c>
      <c r="C45" s="10" t="s">
        <v>451</v>
      </c>
      <c r="D45" s="10" t="s">
        <v>387</v>
      </c>
      <c r="E45" s="10" t="s">
        <v>372</v>
      </c>
    </row>
    <row r="46">
      <c r="B46" s="10" t="s">
        <v>452</v>
      </c>
      <c r="C46" s="10" t="s">
        <v>453</v>
      </c>
      <c r="D46" s="10" t="s">
        <v>454</v>
      </c>
      <c r="E46" s="10" t="s">
        <v>455</v>
      </c>
    </row>
    <row r="47">
      <c r="B47" s="10" t="s">
        <v>452</v>
      </c>
      <c r="C47" s="10" t="s">
        <v>456</v>
      </c>
      <c r="D47" s="10" t="s">
        <v>457</v>
      </c>
      <c r="E47" s="10" t="s">
        <v>458</v>
      </c>
    </row>
    <row r="48">
      <c r="B48" s="10" t="s">
        <v>452</v>
      </c>
      <c r="C48" s="10" t="s">
        <v>459</v>
      </c>
      <c r="D48" s="10" t="s">
        <v>460</v>
      </c>
      <c r="E48" s="10" t="s">
        <v>461</v>
      </c>
    </row>
    <row r="49">
      <c r="B49" s="10" t="s">
        <v>452</v>
      </c>
      <c r="C49" s="10" t="s">
        <v>462</v>
      </c>
      <c r="D49" s="10" t="s">
        <v>463</v>
      </c>
      <c r="E49" s="10" t="s">
        <v>461</v>
      </c>
    </row>
    <row r="50">
      <c r="B50" s="10" t="s">
        <v>452</v>
      </c>
      <c r="C50" s="10" t="s">
        <v>464</v>
      </c>
      <c r="D50" s="10" t="s">
        <v>465</v>
      </c>
      <c r="E50" s="10" t="s">
        <v>466</v>
      </c>
    </row>
    <row r="51">
      <c r="B51" s="10" t="s">
        <v>452</v>
      </c>
      <c r="C51" s="10" t="s">
        <v>467</v>
      </c>
      <c r="D51" s="10" t="s">
        <v>468</v>
      </c>
      <c r="E51" s="10" t="s">
        <v>458</v>
      </c>
    </row>
    <row r="52">
      <c r="B52" s="10" t="s">
        <v>452</v>
      </c>
      <c r="C52" s="10" t="s">
        <v>469</v>
      </c>
      <c r="D52" s="10" t="s">
        <v>470</v>
      </c>
      <c r="E52" s="10" t="s">
        <v>471</v>
      </c>
    </row>
    <row r="53">
      <c r="B53" s="10" t="s">
        <v>452</v>
      </c>
      <c r="C53" s="10" t="s">
        <v>472</v>
      </c>
      <c r="D53" s="10" t="s">
        <v>473</v>
      </c>
      <c r="E53" s="10" t="s">
        <v>372</v>
      </c>
    </row>
    <row r="54">
      <c r="B54" s="10" t="s">
        <v>452</v>
      </c>
      <c r="C54" s="10" t="s">
        <v>474</v>
      </c>
      <c r="D54" s="10" t="s">
        <v>475</v>
      </c>
      <c r="E54" s="10" t="s">
        <v>476</v>
      </c>
    </row>
    <row r="55">
      <c r="B55" s="10" t="s">
        <v>452</v>
      </c>
      <c r="C55" s="10" t="s">
        <v>477</v>
      </c>
      <c r="D55" s="10" t="s">
        <v>478</v>
      </c>
      <c r="E55" s="10" t="s">
        <v>461</v>
      </c>
    </row>
    <row r="56">
      <c r="B56" s="10" t="s">
        <v>452</v>
      </c>
      <c r="C56" s="10" t="s">
        <v>479</v>
      </c>
      <c r="D56" s="10" t="s">
        <v>480</v>
      </c>
      <c r="E56" s="10" t="s">
        <v>476</v>
      </c>
    </row>
    <row r="57">
      <c r="B57" s="10" t="s">
        <v>452</v>
      </c>
      <c r="C57" s="10" t="s">
        <v>481</v>
      </c>
      <c r="D57" s="10" t="s">
        <v>482</v>
      </c>
      <c r="E57" s="10" t="s">
        <v>372</v>
      </c>
    </row>
    <row r="58">
      <c r="B58" s="10" t="s">
        <v>452</v>
      </c>
      <c r="C58" s="10" t="s">
        <v>483</v>
      </c>
      <c r="D58" s="10" t="s">
        <v>484</v>
      </c>
      <c r="E58" s="10" t="s">
        <v>476</v>
      </c>
    </row>
    <row r="59">
      <c r="B59" s="10" t="s">
        <v>452</v>
      </c>
      <c r="C59" s="10" t="s">
        <v>485</v>
      </c>
      <c r="D59" s="10" t="s">
        <v>486</v>
      </c>
      <c r="E59" s="107" t="s">
        <v>445</v>
      </c>
    </row>
    <row r="60">
      <c r="B60" s="10" t="s">
        <v>452</v>
      </c>
      <c r="C60" s="10" t="s">
        <v>487</v>
      </c>
      <c r="D60" s="10" t="s">
        <v>488</v>
      </c>
      <c r="E60" s="10" t="s">
        <v>445</v>
      </c>
    </row>
    <row r="61">
      <c r="B61" s="10" t="s">
        <v>452</v>
      </c>
      <c r="C61" s="10" t="s">
        <v>489</v>
      </c>
      <c r="D61" s="10" t="s">
        <v>490</v>
      </c>
      <c r="E61" s="10" t="s">
        <v>445</v>
      </c>
    </row>
    <row r="62">
      <c r="B62" s="10"/>
      <c r="C62" s="10"/>
      <c r="D62" s="10"/>
    </row>
    <row r="63">
      <c r="B63" s="10"/>
      <c r="C63" s="10"/>
      <c r="D63" s="10"/>
    </row>
    <row r="64">
      <c r="B64" s="10"/>
      <c r="C64" s="10"/>
      <c r="D64" s="10"/>
    </row>
    <row r="65">
      <c r="B65" s="10"/>
      <c r="C65" s="10"/>
      <c r="D65" s="10"/>
    </row>
    <row r="66">
      <c r="B66" s="10"/>
      <c r="C66" s="10"/>
      <c r="D66" s="10"/>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row r="996">
      <c r="B996" s="10"/>
      <c r="C996" s="10"/>
      <c r="D996" s="10"/>
    </row>
    <row r="997">
      <c r="B997" s="10"/>
      <c r="C997" s="10"/>
      <c r="D997" s="10"/>
    </row>
    <row r="998">
      <c r="B998" s="10"/>
      <c r="C998" s="10"/>
      <c r="D998" s="10"/>
    </row>
    <row r="999">
      <c r="B999" s="10"/>
      <c r="C999" s="10"/>
      <c r="D999" s="10"/>
    </row>
    <row r="1000">
      <c r="B1000" s="10"/>
      <c r="C1000" s="10"/>
      <c r="D1000" s="10"/>
    </row>
    <row r="1001">
      <c r="B1001" s="10"/>
      <c r="C1001" s="10"/>
      <c r="D1001" s="10"/>
    </row>
    <row r="1002">
      <c r="B1002" s="10"/>
      <c r="C1002" s="10"/>
      <c r="D1002" s="10"/>
    </row>
    <row r="1003">
      <c r="B1003" s="10"/>
      <c r="C1003" s="10"/>
      <c r="D1003" s="10"/>
    </row>
    <row r="1004">
      <c r="B1004" s="10"/>
      <c r="C1004" s="10"/>
      <c r="D1004" s="10"/>
    </row>
    <row r="1005">
      <c r="B1005" s="10"/>
      <c r="C1005" s="10"/>
      <c r="D1005" s="10"/>
    </row>
    <row r="1006">
      <c r="B1006" s="10"/>
      <c r="C1006" s="10"/>
      <c r="D1006" s="10"/>
    </row>
    <row r="1007">
      <c r="B1007" s="10"/>
      <c r="C1007" s="10"/>
      <c r="D1007" s="10"/>
    </row>
    <row r="1008">
      <c r="B1008" s="10"/>
      <c r="C1008" s="10"/>
      <c r="D1008" s="10"/>
    </row>
    <row r="1009">
      <c r="B1009" s="10"/>
      <c r="C1009" s="10"/>
      <c r="D1009" s="10"/>
    </row>
    <row r="1010">
      <c r="B1010" s="10"/>
      <c r="C1010" s="10"/>
      <c r="D1010" s="10"/>
    </row>
    <row r="1011">
      <c r="B1011" s="10"/>
      <c r="C1011" s="10"/>
      <c r="D1011" s="10"/>
    </row>
    <row r="1012">
      <c r="B1012" s="10"/>
      <c r="C1012" s="10"/>
      <c r="D1012" s="10"/>
    </row>
    <row r="1013">
      <c r="B1013" s="10"/>
      <c r="C1013" s="10"/>
      <c r="D1013" s="10"/>
    </row>
    <row r="1014">
      <c r="B1014" s="10"/>
      <c r="C1014" s="10"/>
      <c r="D1014" s="10"/>
    </row>
    <row r="1015">
      <c r="B1015" s="10"/>
      <c r="C1015" s="10"/>
      <c r="D1015" s="10"/>
    </row>
    <row r="1016">
      <c r="B1016" s="10"/>
      <c r="C1016" s="10"/>
      <c r="D1016" s="10"/>
    </row>
    <row r="1017">
      <c r="B1017" s="10"/>
      <c r="C1017" s="10"/>
      <c r="D1017" s="10"/>
    </row>
    <row r="1018">
      <c r="B1018" s="10"/>
      <c r="C1018" s="10"/>
      <c r="D1018" s="10"/>
    </row>
    <row r="1019">
      <c r="B1019" s="10"/>
      <c r="C1019" s="10"/>
      <c r="D1019" s="10"/>
    </row>
    <row r="1020">
      <c r="B1020" s="10"/>
      <c r="C1020" s="10"/>
      <c r="D1020" s="10"/>
    </row>
    <row r="1021">
      <c r="B1021" s="10"/>
      <c r="C1021" s="10"/>
      <c r="D1021" s="10"/>
    </row>
    <row r="1022">
      <c r="B1022" s="10"/>
      <c r="C1022" s="10"/>
      <c r="D1022" s="10"/>
    </row>
    <row r="1023">
      <c r="B1023" s="10"/>
      <c r="C1023" s="10"/>
      <c r="D1023" s="10"/>
    </row>
    <row r="1024">
      <c r="B1024" s="10"/>
      <c r="C1024" s="10"/>
      <c r="D1024" s="10"/>
    </row>
    <row r="1025">
      <c r="B1025" s="10"/>
      <c r="C1025" s="10"/>
      <c r="D1025" s="10"/>
    </row>
    <row r="1026">
      <c r="B1026" s="10"/>
      <c r="C1026" s="10"/>
      <c r="D1026" s="10"/>
    </row>
    <row r="1027">
      <c r="B1027" s="10"/>
      <c r="C1027" s="10"/>
      <c r="D1027" s="10"/>
    </row>
    <row r="1028">
      <c r="B1028" s="10"/>
      <c r="C1028" s="10"/>
      <c r="D1028" s="10"/>
    </row>
    <row r="1029">
      <c r="B1029" s="10"/>
      <c r="C1029" s="10"/>
      <c r="D1029" s="10"/>
    </row>
    <row r="1030">
      <c r="B1030" s="10"/>
      <c r="C1030" s="10"/>
      <c r="D1030" s="10"/>
    </row>
    <row r="1031">
      <c r="B1031" s="10"/>
      <c r="C1031" s="10"/>
      <c r="D1031" s="10"/>
    </row>
    <row r="1032">
      <c r="B1032" s="10"/>
      <c r="C1032" s="10"/>
      <c r="D1032" s="10"/>
    </row>
    <row r="1033">
      <c r="B1033" s="10"/>
      <c r="C1033" s="10"/>
      <c r="D1033" s="10"/>
    </row>
    <row r="1034">
      <c r="B1034" s="10"/>
      <c r="C1034" s="10"/>
      <c r="D1034" s="10"/>
    </row>
    <row r="1035">
      <c r="B1035" s="10"/>
      <c r="C1035" s="10"/>
      <c r="D1035" s="10"/>
    </row>
    <row r="1036">
      <c r="B1036" s="10"/>
      <c r="C1036" s="10"/>
      <c r="D1036" s="10"/>
    </row>
    <row r="1037">
      <c r="B1037" s="10"/>
      <c r="C1037" s="10"/>
      <c r="D1037" s="10"/>
    </row>
    <row r="1038">
      <c r="B1038" s="10"/>
      <c r="C1038" s="10"/>
      <c r="D1038" s="10"/>
    </row>
    <row r="1039">
      <c r="B1039" s="10"/>
      <c r="C1039" s="10"/>
      <c r="D1039" s="10"/>
    </row>
    <row r="1040">
      <c r="B1040" s="10"/>
      <c r="C1040" s="10"/>
      <c r="D1040" s="10"/>
    </row>
    <row r="1041">
      <c r="B1041" s="10"/>
      <c r="C1041" s="10"/>
      <c r="D1041" s="10"/>
    </row>
    <row r="1042">
      <c r="B1042" s="10"/>
      <c r="C1042" s="10"/>
      <c r="D1042" s="10"/>
    </row>
    <row r="1043">
      <c r="B1043" s="10"/>
      <c r="C1043" s="10"/>
      <c r="D1043" s="10"/>
    </row>
    <row r="1044">
      <c r="B1044" s="10"/>
      <c r="C1044" s="10"/>
      <c r="D1044" s="10"/>
    </row>
    <row r="1045">
      <c r="B1045" s="10"/>
      <c r="C1045" s="10"/>
      <c r="D1045" s="10"/>
    </row>
    <row r="1046">
      <c r="B1046" s="10"/>
      <c r="C1046" s="10"/>
      <c r="D1046" s="10"/>
    </row>
    <row r="1047">
      <c r="B1047" s="10"/>
      <c r="C1047" s="10"/>
      <c r="D1047" s="10"/>
    </row>
    <row r="1048">
      <c r="B1048" s="10"/>
      <c r="C1048" s="10"/>
      <c r="D1048" s="10"/>
    </row>
    <row r="1049">
      <c r="B1049" s="10"/>
      <c r="C1049" s="10"/>
      <c r="D1049" s="10"/>
    </row>
    <row r="1050">
      <c r="B1050" s="10"/>
      <c r="C1050" s="10"/>
      <c r="D1050" s="10"/>
    </row>
    <row r="1051">
      <c r="B1051" s="10"/>
      <c r="C1051" s="10"/>
      <c r="D1051" s="10"/>
    </row>
    <row r="1052">
      <c r="B1052" s="10"/>
      <c r="C1052" s="10"/>
      <c r="D1052" s="10"/>
    </row>
    <row r="1053">
      <c r="B1053" s="10"/>
      <c r="C1053" s="10"/>
      <c r="D1053" s="10"/>
    </row>
    <row r="1054">
      <c r="B1054" s="10"/>
      <c r="C1054" s="10"/>
      <c r="D1054" s="10"/>
    </row>
    <row r="1055">
      <c r="B1055" s="10"/>
      <c r="C1055" s="10"/>
      <c r="D1055" s="10"/>
    </row>
    <row r="1056">
      <c r="B1056" s="10"/>
      <c r="C1056" s="10"/>
      <c r="D1056" s="10"/>
    </row>
    <row r="1057">
      <c r="B1057" s="10"/>
      <c r="C1057" s="10"/>
      <c r="D1057" s="10"/>
    </row>
    <row r="1058">
      <c r="B1058" s="10"/>
      <c r="C1058" s="10"/>
      <c r="D1058" s="10"/>
    </row>
    <row r="1059">
      <c r="B1059" s="10"/>
      <c r="C1059" s="10"/>
      <c r="D1059" s="10"/>
    </row>
  </sheetData>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8" t="str">
        <f>'Project Team'!A1</f>
        <v>Last Name</v>
      </c>
      <c r="B1" s="108" t="str">
        <f>'Project Team'!B1</f>
        <v>First Name</v>
      </c>
      <c r="C1" s="109" t="s">
        <v>491</v>
      </c>
      <c r="D1" s="110"/>
      <c r="E1" s="111"/>
      <c r="F1" s="112"/>
      <c r="G1" s="113"/>
      <c r="H1" s="113"/>
    </row>
    <row r="2">
      <c r="A2" s="114" t="str">
        <f>'Project Team'!A2</f>
        <v>Brüggemann</v>
      </c>
      <c r="B2" s="114" t="str">
        <f>'Project Team'!B2</f>
        <v>Jonas</v>
      </c>
      <c r="C2" s="115">
        <v>0.0</v>
      </c>
      <c r="D2" s="116"/>
      <c r="E2" s="117">
        <f>average(C2:C10)</f>
        <v>0</v>
      </c>
      <c r="F2" s="118" t="str">
        <f>if(stdev(C2:C7) &gt; 0,"NOK", "OK")</f>
        <v>OK</v>
      </c>
      <c r="G2" s="119"/>
      <c r="H2" s="119"/>
    </row>
    <row r="3">
      <c r="A3" s="120" t="s">
        <v>492</v>
      </c>
      <c r="B3" s="120" t="s">
        <v>55</v>
      </c>
      <c r="C3" s="115">
        <v>0.0</v>
      </c>
      <c r="D3" s="121"/>
      <c r="G3" s="122"/>
      <c r="H3" s="122"/>
    </row>
    <row r="4">
      <c r="A4" s="114" t="str">
        <f>'Project Team'!A3</f>
        <v>Ebied</v>
      </c>
      <c r="B4" s="114" t="str">
        <f>'Project Team'!B3</f>
        <v>Andrew</v>
      </c>
      <c r="C4" s="123"/>
      <c r="D4" s="116"/>
      <c r="G4" s="119"/>
      <c r="H4" s="119"/>
    </row>
    <row r="5">
      <c r="A5" s="124" t="str">
        <f>'Project Team'!A4</f>
        <v>Vinzens</v>
      </c>
      <c r="B5" s="124" t="str">
        <f>'Project Team'!B4</f>
        <v>Hannes</v>
      </c>
      <c r="C5" s="125"/>
      <c r="D5" s="126"/>
      <c r="E5" s="126"/>
      <c r="F5" s="126"/>
      <c r="G5" s="122"/>
      <c r="H5" s="122"/>
    </row>
    <row r="6">
      <c r="A6" s="114" t="str">
        <f>'Project Team'!A5</f>
        <v>Ahmed</v>
      </c>
      <c r="B6" s="114" t="str">
        <f>'Project Team'!B5</f>
        <v>Hasnat</v>
      </c>
      <c r="C6" s="123"/>
      <c r="D6" s="127"/>
      <c r="E6" s="128">
        <v>0.0</v>
      </c>
      <c r="F6" s="129" t="s">
        <v>493</v>
      </c>
      <c r="G6" s="119"/>
      <c r="H6" s="119"/>
    </row>
    <row r="7">
      <c r="A7" s="120" t="s">
        <v>50</v>
      </c>
      <c r="B7" s="120" t="s">
        <v>51</v>
      </c>
      <c r="C7" s="123"/>
      <c r="D7" s="126"/>
      <c r="E7" s="128">
        <v>1.0</v>
      </c>
      <c r="F7" s="129" t="s">
        <v>494</v>
      </c>
      <c r="G7" s="122"/>
      <c r="H7" s="122"/>
    </row>
    <row r="8">
      <c r="A8" s="114" t="str">
        <f>'Project Team'!A7</f>
        <v>Sandt</v>
      </c>
      <c r="B8" s="114" t="str">
        <f>'Project Team'!B7</f>
        <v>Eloi</v>
      </c>
      <c r="C8" s="125"/>
      <c r="D8" s="127"/>
      <c r="E8" s="128">
        <v>2.0</v>
      </c>
      <c r="F8" s="129" t="s">
        <v>495</v>
      </c>
      <c r="G8" s="119"/>
      <c r="H8" s="119"/>
    </row>
    <row r="9">
      <c r="A9" s="124" t="str">
        <f>'Project Team'!A6</f>
        <v>Busse</v>
      </c>
      <c r="B9" s="124" t="str">
        <f>'Project Team'!B6</f>
        <v>Tobias</v>
      </c>
      <c r="C9" s="125"/>
      <c r="D9" s="126"/>
      <c r="E9" s="128">
        <v>3.0</v>
      </c>
      <c r="F9" s="129" t="s">
        <v>496</v>
      </c>
      <c r="G9" s="122"/>
      <c r="H9" s="122"/>
    </row>
    <row r="10">
      <c r="A10" s="114" t="str">
        <f>'Project Team'!A9</f>
        <v>Zeeshan</v>
      </c>
      <c r="B10" s="114" t="str">
        <f>'Project Team'!B9</f>
        <v>Muhamad</v>
      </c>
      <c r="C10" s="125"/>
      <c r="D10" s="127"/>
      <c r="E10" s="128">
        <v>5.0</v>
      </c>
      <c r="F10" s="129" t="s">
        <v>497</v>
      </c>
      <c r="G10" s="119"/>
      <c r="H10" s="119"/>
    </row>
    <row r="11">
      <c r="A11" s="124" t="str">
        <f>'Project Team'!A10</f>
        <v>Haseeb</v>
      </c>
      <c r="B11" s="124" t="str">
        <f>'Project Team'!B10</f>
        <v>Abdul</v>
      </c>
      <c r="C11" s="123"/>
      <c r="D11" s="126"/>
      <c r="E11" s="128">
        <v>8.0</v>
      </c>
      <c r="F11" s="129" t="s">
        <v>498</v>
      </c>
      <c r="G11" s="122"/>
      <c r="H11" s="122"/>
    </row>
    <row r="12">
      <c r="A12" s="114"/>
      <c r="B12" s="114"/>
      <c r="C12" s="123"/>
      <c r="D12" s="127"/>
      <c r="E12" s="128">
        <v>13.0</v>
      </c>
      <c r="F12" s="129" t="s">
        <v>499</v>
      </c>
      <c r="G12" s="119"/>
      <c r="H12" s="119"/>
    </row>
    <row r="13">
      <c r="A13" s="124"/>
      <c r="B13" s="124"/>
      <c r="C13" s="126"/>
      <c r="D13" s="126"/>
      <c r="E13" s="126"/>
      <c r="F13" s="126"/>
      <c r="G13" s="122"/>
      <c r="H13" s="122"/>
    </row>
    <row r="14">
      <c r="A14" s="130" t="s">
        <v>500</v>
      </c>
      <c r="B14" s="131"/>
      <c r="C14" s="131"/>
      <c r="D14" s="131"/>
      <c r="E14" s="131"/>
      <c r="F14" s="131"/>
      <c r="G14" s="131"/>
      <c r="H14" s="131"/>
    </row>
    <row r="15">
      <c r="A15" s="132"/>
      <c r="B15" s="132"/>
      <c r="C15" s="132"/>
      <c r="D15" s="132"/>
      <c r="E15" s="132"/>
      <c r="F15" s="132"/>
      <c r="G15" s="132"/>
      <c r="H15" s="132"/>
    </row>
    <row r="16">
      <c r="A16" s="133" t="s">
        <v>501</v>
      </c>
      <c r="B16" s="134"/>
      <c r="C16" s="134"/>
      <c r="D16" s="134"/>
      <c r="E16" s="134"/>
      <c r="F16" s="134"/>
      <c r="G16" s="134"/>
      <c r="H16" s="134"/>
    </row>
    <row r="17">
      <c r="A17" s="135" t="s">
        <v>502</v>
      </c>
      <c r="B17" s="132"/>
      <c r="C17" s="132"/>
      <c r="D17" s="132"/>
      <c r="E17" s="132"/>
      <c r="F17" s="132"/>
      <c r="G17" s="132"/>
      <c r="H17" s="132"/>
    </row>
    <row r="18">
      <c r="A18" s="133" t="s">
        <v>503</v>
      </c>
      <c r="B18" s="134"/>
      <c r="C18" s="134"/>
      <c r="D18" s="134"/>
      <c r="E18" s="134"/>
      <c r="F18" s="134"/>
      <c r="G18" s="134"/>
      <c r="H18" s="134"/>
    </row>
    <row r="19">
      <c r="A19" s="132"/>
      <c r="B19" s="132"/>
      <c r="C19" s="132"/>
      <c r="D19" s="132"/>
      <c r="E19" s="132"/>
      <c r="F19" s="132"/>
      <c r="G19" s="132"/>
      <c r="H19" s="132"/>
    </row>
    <row r="20">
      <c r="A20" s="134"/>
      <c r="B20" s="134"/>
      <c r="C20" s="134"/>
      <c r="D20" s="134"/>
      <c r="E20" s="134"/>
      <c r="F20" s="134"/>
      <c r="G20" s="134"/>
      <c r="H20" s="134"/>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